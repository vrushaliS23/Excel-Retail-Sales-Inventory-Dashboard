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TICS\Excel\Vrushali Work\"/>
    </mc:Choice>
  </mc:AlternateContent>
  <xr:revisionPtr revIDLastSave="0" documentId="8_{1E8A3D02-511B-4CF5-B381-5C5EBE4D4259}" xr6:coauthVersionLast="47" xr6:coauthVersionMax="47" xr10:uidLastSave="{00000000-0000-0000-0000-000000000000}"/>
  <bookViews>
    <workbookView xWindow="-108" yWindow="-108" windowWidth="23256" windowHeight="12456" activeTab="2" xr2:uid="{F7409214-E112-465E-8CB3-FC42F599C11B}"/>
  </bookViews>
  <sheets>
    <sheet name="Product_Master" sheetId="1" r:id="rId1"/>
    <sheet name="Inventory" sheetId="2" r:id="rId2"/>
    <sheet name="Dashboard" sheetId="5" r:id="rId3"/>
    <sheet name="Sales_Data" sheetId="3" r:id="rId4"/>
  </sheets>
  <definedNames>
    <definedName name="Slicer_Category">#N/A</definedName>
    <definedName name="Slicer_Product_Name">#N/A</definedName>
    <definedName name="Slicer_Region">#N/A</definedName>
    <definedName name="Slicer_Supplier1">#N/A</definedName>
  </definedNames>
  <calcPr calcId="191029"/>
  <pivotCaches>
    <pivotCache cacheId="1" r:id="rId5"/>
    <pivotCache cacheId="2" r:id="rId6"/>
    <pivotCache cacheId="3" r:id="rId7"/>
    <pivotCache cacheId="4" r:id="rId8"/>
    <pivotCache cacheId="7" r:id="rId9"/>
    <pivotCache cacheId="13" r:id="rId10"/>
    <pivotCache cacheId="9"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 i="2"/>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2" i="3"/>
  <c r="M3" i="2" a="1"/>
  <c r="M3" i="2" s="1"/>
  <c r="M4" i="2" a="1"/>
  <c r="M4" i="2" s="1"/>
  <c r="M5" i="2" a="1"/>
  <c r="M5" i="2" s="1"/>
  <c r="M6" i="2" a="1"/>
  <c r="M6" i="2"/>
  <c r="M7" i="2" a="1"/>
  <c r="M7" i="2"/>
  <c r="M8" i="2" a="1"/>
  <c r="M8" i="2"/>
  <c r="M9" i="2" a="1"/>
  <c r="M9" i="2" s="1"/>
  <c r="M10" i="2" a="1"/>
  <c r="M10" i="2" s="1"/>
  <c r="M11" i="2" a="1"/>
  <c r="M11" i="2" s="1"/>
  <c r="M12" i="2" a="1"/>
  <c r="M12" i="2"/>
  <c r="M13" i="2" a="1"/>
  <c r="M13" i="2"/>
  <c r="M14" i="2" a="1"/>
  <c r="M14" i="2"/>
  <c r="M15" i="2" a="1"/>
  <c r="M15" i="2" s="1"/>
  <c r="M16" i="2" a="1"/>
  <c r="M16" i="2" s="1"/>
  <c r="M17" i="2" a="1"/>
  <c r="M17" i="2" s="1"/>
  <c r="M18" i="2" a="1"/>
  <c r="M18" i="2"/>
  <c r="M19" i="2" a="1"/>
  <c r="M19" i="2"/>
  <c r="M20" i="2" a="1"/>
  <c r="M20" i="2"/>
  <c r="M21" i="2" a="1"/>
  <c r="M21" i="2" s="1"/>
  <c r="M22" i="2" a="1"/>
  <c r="M22" i="2" s="1"/>
  <c r="M23" i="2" a="1"/>
  <c r="M23" i="2" s="1"/>
  <c r="M24" i="2" a="1"/>
  <c r="M24" i="2"/>
  <c r="M25" i="2" a="1"/>
  <c r="M25" i="2"/>
  <c r="M26" i="2" a="1"/>
  <c r="M26" i="2"/>
  <c r="M27" i="2" a="1"/>
  <c r="M27" i="2" s="1"/>
  <c r="M28" i="2" a="1"/>
  <c r="M28" i="2" s="1"/>
  <c r="M29" i="2" a="1"/>
  <c r="M29" i="2" s="1"/>
  <c r="M30" i="2" a="1"/>
  <c r="M30" i="2"/>
  <c r="M31" i="2" a="1"/>
  <c r="M31" i="2"/>
  <c r="M32" i="2" a="1"/>
  <c r="M32" i="2"/>
  <c r="M33" i="2" a="1"/>
  <c r="M33" i="2" s="1"/>
  <c r="M34" i="2" a="1"/>
  <c r="M34" i="2" s="1"/>
  <c r="M35" i="2" a="1"/>
  <c r="M35" i="2" s="1"/>
  <c r="M36" i="2" a="1"/>
  <c r="M36" i="2"/>
  <c r="M37" i="2" a="1"/>
  <c r="M37" i="2"/>
  <c r="M38" i="2" a="1"/>
  <c r="M38" i="2"/>
  <c r="M39" i="2" a="1"/>
  <c r="M39" i="2" s="1"/>
  <c r="M40" i="2" a="1"/>
  <c r="M40" i="2" s="1"/>
  <c r="M41" i="2" a="1"/>
  <c r="M41" i="2" s="1"/>
  <c r="M42" i="2" a="1"/>
  <c r="M42" i="2"/>
  <c r="M43" i="2" a="1"/>
  <c r="M43" i="2"/>
  <c r="M44" i="2" a="1"/>
  <c r="M44" i="2"/>
  <c r="M45" i="2" a="1"/>
  <c r="M45" i="2" s="1"/>
  <c r="M46" i="2" a="1"/>
  <c r="M46" i="2" s="1"/>
  <c r="M47" i="2" a="1"/>
  <c r="M47" i="2" s="1"/>
  <c r="M48" i="2" a="1"/>
  <c r="M48" i="2"/>
  <c r="M49" i="2" a="1"/>
  <c r="M49" i="2"/>
  <c r="M50" i="2" a="1"/>
  <c r="M50" i="2"/>
  <c r="M51" i="2" a="1"/>
  <c r="M51" i="2" s="1"/>
  <c r="M52" i="2" a="1"/>
  <c r="M52" i="2" s="1"/>
  <c r="M53" i="2" a="1"/>
  <c r="M53" i="2" s="1"/>
  <c r="M54" i="2" a="1"/>
  <c r="M54" i="2"/>
  <c r="M55" i="2" a="1"/>
  <c r="M55" i="2"/>
  <c r="M56" i="2" a="1"/>
  <c r="M56" i="2"/>
  <c r="M57" i="2" a="1"/>
  <c r="M57" i="2" s="1"/>
  <c r="M58" i="2" a="1"/>
  <c r="M58" i="2" s="1"/>
  <c r="M59" i="2" a="1"/>
  <c r="M59" i="2" s="1"/>
  <c r="M60" i="2" a="1"/>
  <c r="M60" i="2"/>
  <c r="M61" i="2" a="1"/>
  <c r="M61" i="2"/>
  <c r="M62" i="2" a="1"/>
  <c r="M62" i="2"/>
  <c r="M63" i="2" a="1"/>
  <c r="M63" i="2" s="1"/>
  <c r="M64" i="2" a="1"/>
  <c r="M64" i="2" s="1"/>
  <c r="M65" i="2" a="1"/>
  <c r="M65" i="2" s="1"/>
  <c r="M66" i="2" a="1"/>
  <c r="M66" i="2"/>
  <c r="M67" i="2" a="1"/>
  <c r="M67" i="2"/>
  <c r="M68" i="2" a="1"/>
  <c r="M68" i="2"/>
  <c r="M69" i="2" a="1"/>
  <c r="M69" i="2" s="1"/>
  <c r="M70" i="2" a="1"/>
  <c r="M70" i="2" s="1"/>
  <c r="M71" i="2" a="1"/>
  <c r="M71" i="2" s="1"/>
  <c r="M72" i="2" a="1"/>
  <c r="M72" i="2"/>
  <c r="M73" i="2" a="1"/>
  <c r="M73" i="2"/>
  <c r="M74" i="2" a="1"/>
  <c r="M74" i="2"/>
  <c r="M75" i="2" a="1"/>
  <c r="M75" i="2" s="1"/>
  <c r="M76" i="2" a="1"/>
  <c r="M76" i="2" s="1"/>
  <c r="M77" i="2" a="1"/>
  <c r="M77" i="2" s="1"/>
  <c r="M78" i="2" a="1"/>
  <c r="M78" i="2"/>
  <c r="M79" i="2" a="1"/>
  <c r="M79" i="2"/>
  <c r="M80" i="2" a="1"/>
  <c r="M80" i="2"/>
  <c r="M81" i="2" a="1"/>
  <c r="M81" i="2" s="1"/>
  <c r="M82" i="2" a="1"/>
  <c r="M82" i="2" s="1"/>
  <c r="M83" i="2" a="1"/>
  <c r="M83" i="2" s="1"/>
  <c r="M84" i="2" a="1"/>
  <c r="M84" i="2"/>
  <c r="M85" i="2" a="1"/>
  <c r="M85" i="2"/>
  <c r="M86" i="2" a="1"/>
  <c r="M86" i="2"/>
  <c r="M87" i="2" a="1"/>
  <c r="M87" i="2" s="1"/>
  <c r="M88" i="2" a="1"/>
  <c r="M88" i="2" s="1"/>
  <c r="M89" i="2" a="1"/>
  <c r="M89" i="2" s="1"/>
  <c r="M90" i="2" a="1"/>
  <c r="M90" i="2"/>
  <c r="M91" i="2" a="1"/>
  <c r="M91" i="2"/>
  <c r="M92" i="2" a="1"/>
  <c r="M92" i="2"/>
  <c r="M93" i="2" a="1"/>
  <c r="M93" i="2" s="1"/>
  <c r="M94" i="2" a="1"/>
  <c r="M94" i="2" s="1"/>
  <c r="M95" i="2" a="1"/>
  <c r="M95" i="2" s="1"/>
  <c r="M96" i="2" a="1"/>
  <c r="M96" i="2"/>
  <c r="M97" i="2" a="1"/>
  <c r="M97" i="2"/>
  <c r="M98" i="2" a="1"/>
  <c r="M98" i="2"/>
  <c r="M99" i="2" a="1"/>
  <c r="M99" i="2" s="1"/>
  <c r="M100" i="2" a="1"/>
  <c r="M100" i="2" s="1"/>
  <c r="M101" i="2" a="1"/>
  <c r="M101" i="2" s="1"/>
  <c r="M102" i="2" a="1"/>
  <c r="M102" i="2"/>
  <c r="M103" i="2" a="1"/>
  <c r="M103" i="2"/>
  <c r="M104" i="2" a="1"/>
  <c r="M104" i="2"/>
  <c r="M105" i="2" a="1"/>
  <c r="M105" i="2" s="1"/>
  <c r="M106" i="2" a="1"/>
  <c r="M106" i="2" s="1"/>
  <c r="M107" i="2" a="1"/>
  <c r="M107" i="2" s="1"/>
  <c r="M108" i="2" a="1"/>
  <c r="M108" i="2"/>
  <c r="M109" i="2" a="1"/>
  <c r="M109" i="2"/>
  <c r="M110" i="2" a="1"/>
  <c r="M110" i="2"/>
  <c r="M111" i="2" a="1"/>
  <c r="M111" i="2" s="1"/>
  <c r="M112" i="2" a="1"/>
  <c r="M112" i="2" s="1"/>
  <c r="M113" i="2" a="1"/>
  <c r="M113" i="2" s="1"/>
  <c r="M114" i="2" a="1"/>
  <c r="M114" i="2"/>
  <c r="M115" i="2" a="1"/>
  <c r="M115" i="2"/>
  <c r="M116" i="2" a="1"/>
  <c r="M116" i="2" s="1"/>
  <c r="M117" i="2" a="1"/>
  <c r="M117" i="2" s="1"/>
  <c r="M118" i="2" a="1"/>
  <c r="M118" i="2" s="1"/>
  <c r="M119" i="2" a="1"/>
  <c r="M119" i="2" s="1"/>
  <c r="M120" i="2" a="1"/>
  <c r="M120" i="2"/>
  <c r="M121" i="2" a="1"/>
  <c r="M121" i="2"/>
  <c r="M122" i="2" a="1"/>
  <c r="M122" i="2"/>
  <c r="M123" i="2" a="1"/>
  <c r="M123" i="2" s="1"/>
  <c r="M124" i="2" a="1"/>
  <c r="M124" i="2" s="1"/>
  <c r="M125" i="2" a="1"/>
  <c r="M125" i="2" s="1"/>
  <c r="M126" i="2" a="1"/>
  <c r="M126" i="2"/>
  <c r="M127" i="2" a="1"/>
  <c r="M127" i="2"/>
  <c r="M128" i="2" a="1"/>
  <c r="M128" i="2"/>
  <c r="M129" i="2" a="1"/>
  <c r="M129" i="2" s="1"/>
  <c r="M130" i="2" a="1"/>
  <c r="M130" i="2" s="1"/>
  <c r="M131" i="2" a="1"/>
  <c r="M131" i="2" s="1"/>
  <c r="M132" i="2" a="1"/>
  <c r="M132" i="2"/>
  <c r="M133" i="2" a="1"/>
  <c r="M133" i="2"/>
  <c r="M134" i="2" a="1"/>
  <c r="M134" i="2"/>
  <c r="M135" i="2" a="1"/>
  <c r="M135" i="2" s="1"/>
  <c r="M136" i="2" a="1"/>
  <c r="M136" i="2" s="1"/>
  <c r="M137" i="2" a="1"/>
  <c r="M137" i="2" s="1"/>
  <c r="M138" i="2" a="1"/>
  <c r="M138" i="2"/>
  <c r="M139" i="2" a="1"/>
  <c r="M139" i="2"/>
  <c r="M140" i="2" a="1"/>
  <c r="M140" i="2"/>
  <c r="M141" i="2" a="1"/>
  <c r="M141" i="2" s="1"/>
  <c r="M142" i="2" a="1"/>
  <c r="M142" i="2" s="1"/>
  <c r="M143" i="2" a="1"/>
  <c r="M143" i="2" s="1"/>
  <c r="M144" i="2" a="1"/>
  <c r="M144" i="2"/>
  <c r="M145" i="2" a="1"/>
  <c r="M145" i="2"/>
  <c r="M146" i="2" a="1"/>
  <c r="M146" i="2"/>
  <c r="M147" i="2" a="1"/>
  <c r="M147" i="2" s="1"/>
  <c r="M148" i="2" a="1"/>
  <c r="M148" i="2" s="1"/>
  <c r="M149" i="2" a="1"/>
  <c r="M149" i="2" s="1"/>
  <c r="M150" i="2" a="1"/>
  <c r="M150" i="2"/>
  <c r="M151" i="2" a="1"/>
  <c r="M151" i="2"/>
  <c r="M152" i="2" a="1"/>
  <c r="M152" i="2"/>
  <c r="M153" i="2" a="1"/>
  <c r="M153" i="2" s="1"/>
  <c r="M154" i="2" a="1"/>
  <c r="M154" i="2" s="1"/>
  <c r="M155" i="2" a="1"/>
  <c r="M155" i="2" s="1"/>
  <c r="M156" i="2" a="1"/>
  <c r="M156" i="2"/>
  <c r="M157" i="2" a="1"/>
  <c r="M157" i="2"/>
  <c r="M158" i="2" a="1"/>
  <c r="M158" i="2"/>
  <c r="M159" i="2" a="1"/>
  <c r="M159" i="2" s="1"/>
  <c r="M160" i="2" a="1"/>
  <c r="M160" i="2" s="1"/>
  <c r="M161" i="2" a="1"/>
  <c r="M161" i="2" s="1"/>
  <c r="M162" i="2" a="1"/>
  <c r="M162" i="2"/>
  <c r="M163" i="2" a="1"/>
  <c r="M163" i="2"/>
  <c r="M164" i="2" a="1"/>
  <c r="M164" i="2"/>
  <c r="M165" i="2" a="1"/>
  <c r="M165" i="2" s="1"/>
  <c r="M166" i="2" a="1"/>
  <c r="M166" i="2" s="1"/>
  <c r="M167" i="2" a="1"/>
  <c r="M167" i="2" s="1"/>
  <c r="M168" i="2" a="1"/>
  <c r="M168" i="2"/>
  <c r="M169" i="2" a="1"/>
  <c r="M169" i="2"/>
  <c r="M170" i="2" a="1"/>
  <c r="M170" i="2" s="1"/>
  <c r="M171" i="2" a="1"/>
  <c r="M171" i="2" s="1"/>
  <c r="M172" i="2" a="1"/>
  <c r="M172" i="2" s="1"/>
  <c r="M173" i="2" a="1"/>
  <c r="M173" i="2" s="1"/>
  <c r="M174" i="2" a="1"/>
  <c r="M174" i="2"/>
  <c r="M175" i="2" a="1"/>
  <c r="M175" i="2"/>
  <c r="M176" i="2" a="1"/>
  <c r="M176" i="2"/>
  <c r="M177" i="2" a="1"/>
  <c r="M177" i="2" s="1"/>
  <c r="M178" i="2" a="1"/>
  <c r="M178" i="2" s="1"/>
  <c r="M179" i="2" a="1"/>
  <c r="M179" i="2" s="1"/>
  <c r="M180" i="2" a="1"/>
  <c r="M180" i="2"/>
  <c r="M181" i="2" a="1"/>
  <c r="M181" i="2"/>
  <c r="M182" i="2" a="1"/>
  <c r="M182" i="2"/>
  <c r="M183" i="2" a="1"/>
  <c r="M183" i="2" s="1"/>
  <c r="M184" i="2" a="1"/>
  <c r="M184" i="2" s="1"/>
  <c r="M185" i="2" a="1"/>
  <c r="M185" i="2" s="1"/>
  <c r="M186" i="2" a="1"/>
  <c r="M186" i="2"/>
  <c r="M187" i="2" a="1"/>
  <c r="M187" i="2"/>
  <c r="M188" i="2" a="1"/>
  <c r="M188" i="2"/>
  <c r="M189" i="2" a="1"/>
  <c r="M189" i="2" s="1"/>
  <c r="M190" i="2" a="1"/>
  <c r="M190" i="2" s="1"/>
  <c r="M191" i="2" a="1"/>
  <c r="M191" i="2" s="1"/>
  <c r="M192" i="2" a="1"/>
  <c r="M192" i="2"/>
  <c r="M193" i="2" a="1"/>
  <c r="M193" i="2"/>
  <c r="M194" i="2" a="1"/>
  <c r="M194" i="2"/>
  <c r="M195" i="2" a="1"/>
  <c r="M195" i="2" s="1"/>
  <c r="M196" i="2" a="1"/>
  <c r="M196" i="2" s="1"/>
  <c r="M197" i="2" a="1"/>
  <c r="M197" i="2" s="1"/>
  <c r="M198" i="2" a="1"/>
  <c r="M198" i="2"/>
  <c r="M199" i="2" a="1"/>
  <c r="M199" i="2"/>
  <c r="M200" i="2" a="1"/>
  <c r="M200" i="2"/>
  <c r="M201" i="2" a="1"/>
  <c r="M201" i="2" s="1"/>
  <c r="M2" i="2" a="1"/>
  <c r="M2" i="2"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2" i="3"/>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3" i="2"/>
  <c r="K4" i="2"/>
  <c r="K5" i="2"/>
  <c r="K6" i="2"/>
  <c r="K7" i="2"/>
  <c r="K8" i="2"/>
  <c r="K9" i="2"/>
  <c r="K10" i="2"/>
  <c r="K11" i="2"/>
  <c r="K12" i="2"/>
  <c r="K13" i="2"/>
  <c r="K2"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3" i="2"/>
  <c r="J4" i="2"/>
  <c r="J5" i="2"/>
  <c r="J6" i="2"/>
  <c r="J7" i="2"/>
  <c r="J8" i="2"/>
  <c r="J9" i="2"/>
  <c r="J10" i="2"/>
  <c r="J11" i="2"/>
  <c r="J12" i="2"/>
  <c r="J13" i="2"/>
  <c r="J14" i="2"/>
  <c r="J15" i="2"/>
  <c r="J16" i="2"/>
  <c r="J17" i="2"/>
  <c r="J18" i="2"/>
  <c r="J2" i="2"/>
  <c r="P11" i="3"/>
  <c r="B1" i="5"/>
  <c r="A1" i="5"/>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2"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7" i="3"/>
  <c r="L58" i="3"/>
  <c r="L59" i="3"/>
  <c r="L60" i="3"/>
  <c r="L61" i="3"/>
  <c r="L62" i="3"/>
  <c r="L63" i="3"/>
  <c r="L64" i="3"/>
  <c r="L65" i="3"/>
  <c r="L66" i="3"/>
  <c r="L67" i="3"/>
  <c r="L68" i="3"/>
  <c r="L69" i="3"/>
  <c r="L70" i="3"/>
  <c r="L71" i="3"/>
  <c r="L72" i="3"/>
  <c r="L73" i="3"/>
  <c r="L38" i="3"/>
  <c r="L39" i="3"/>
  <c r="L40" i="3"/>
  <c r="L41" i="3"/>
  <c r="L42" i="3"/>
  <c r="L43" i="3"/>
  <c r="L44" i="3"/>
  <c r="L45" i="3"/>
  <c r="L46" i="3"/>
  <c r="L47" i="3"/>
  <c r="L48" i="3"/>
  <c r="L49" i="3"/>
  <c r="L50" i="3"/>
  <c r="L51" i="3"/>
  <c r="L52" i="3"/>
  <c r="L53" i="3"/>
  <c r="L54" i="3"/>
  <c r="L55" i="3"/>
  <c r="L56" i="3"/>
  <c r="L25" i="3"/>
  <c r="L26" i="3"/>
  <c r="L27" i="3"/>
  <c r="L28" i="3"/>
  <c r="L29" i="3"/>
  <c r="L30" i="3"/>
  <c r="L31" i="3"/>
  <c r="L32" i="3"/>
  <c r="L33" i="3"/>
  <c r="L34" i="3"/>
  <c r="L35" i="3"/>
  <c r="L36" i="3"/>
  <c r="L37" i="3"/>
  <c r="L4" i="3"/>
  <c r="L5" i="3"/>
  <c r="L6" i="3"/>
  <c r="L7" i="3"/>
  <c r="L8" i="3"/>
  <c r="L9" i="3"/>
  <c r="L10" i="3"/>
  <c r="L11" i="3"/>
  <c r="L12" i="3"/>
  <c r="L13" i="3"/>
  <c r="L14" i="3"/>
  <c r="L15" i="3"/>
  <c r="L16" i="3"/>
  <c r="L17" i="3"/>
  <c r="L18" i="3"/>
  <c r="L19" i="3"/>
  <c r="L20" i="3"/>
  <c r="L21" i="3"/>
  <c r="L22" i="3"/>
  <c r="L23" i="3"/>
  <c r="L24" i="3"/>
  <c r="L3" i="3"/>
  <c r="L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<sst xmlns="http://schemas.openxmlformats.org/spreadsheetml/2006/main" count="4639" uniqueCount="838">
  <si>
    <t>Product_ID</t>
  </si>
  <si>
    <t>Product_Name</t>
  </si>
  <si>
    <t>Category</t>
  </si>
  <si>
    <t>Cost_Price</t>
  </si>
  <si>
    <t>Selling_Price</t>
  </si>
  <si>
    <t>P001</t>
  </si>
  <si>
    <t>Choco Pie Popstick</t>
  </si>
  <si>
    <t>Snacks</t>
  </si>
  <si>
    <t>P002</t>
  </si>
  <si>
    <t>Kunafa Bites</t>
  </si>
  <si>
    <t>Premium</t>
  </si>
  <si>
    <t>P003</t>
  </si>
  <si>
    <t>Choco Crunch Cone</t>
  </si>
  <si>
    <t>P004</t>
  </si>
  <si>
    <t>Duo Choco Bites</t>
  </si>
  <si>
    <t>P005</t>
  </si>
  <si>
    <t>Choco Dip Cookie</t>
  </si>
  <si>
    <t>Cookies</t>
  </si>
  <si>
    <t>P006</t>
  </si>
  <si>
    <t>Love Loaded Chocolate Bar</t>
  </si>
  <si>
    <t>P007</t>
  </si>
  <si>
    <t>Choco Aura Custom Bar</t>
  </si>
  <si>
    <t>P008</t>
  </si>
  <si>
    <t>Hazelnut Praline Chocolate</t>
  </si>
  <si>
    <t>P009</t>
  </si>
  <si>
    <t>Rose Pista Chocolate</t>
  </si>
  <si>
    <t>P010</t>
  </si>
  <si>
    <t>Dry Fruit Special Chocolate</t>
  </si>
  <si>
    <t>Opening_Stock</t>
  </si>
  <si>
    <t>Stock_In</t>
  </si>
  <si>
    <t>Stock_Out</t>
  </si>
  <si>
    <t>Current_Stock</t>
  </si>
  <si>
    <t>Supplier</t>
  </si>
  <si>
    <t>Choco World</t>
  </si>
  <si>
    <t>Premium Foods</t>
  </si>
  <si>
    <t>ABC Traders</t>
  </si>
  <si>
    <t>Sweet Supplies</t>
  </si>
  <si>
    <t>Order_ID</t>
  </si>
  <si>
    <t>Order_Date</t>
  </si>
  <si>
    <t>Customer_Name</t>
  </si>
  <si>
    <t>Quantity_Sold</t>
  </si>
  <si>
    <t>Discount</t>
  </si>
  <si>
    <t>Total_Sales</t>
  </si>
  <si>
    <t>Region</t>
  </si>
  <si>
    <t>2025-03-17</t>
  </si>
  <si>
    <t>Kiran</t>
  </si>
  <si>
    <t>Bangalore</t>
  </si>
  <si>
    <t>2025-01-05</t>
  </si>
  <si>
    <t>Rohan</t>
  </si>
  <si>
    <t>Delhi</t>
  </si>
  <si>
    <t>2025-04-19</t>
  </si>
  <si>
    <t>Neha</t>
  </si>
  <si>
    <t>2025-04-27</t>
  </si>
  <si>
    <t>2025-03-11</t>
  </si>
  <si>
    <t>Sneha</t>
  </si>
  <si>
    <t>Pune</t>
  </si>
  <si>
    <t>2025-02-19</t>
  </si>
  <si>
    <t>Priya</t>
  </si>
  <si>
    <t>2025-04-08</t>
  </si>
  <si>
    <t>2025-04-01</t>
  </si>
  <si>
    <t>2025-02-11</t>
  </si>
  <si>
    <t>2025-01-20</t>
  </si>
  <si>
    <t>2025-01-07</t>
  </si>
  <si>
    <t>2025-02-21</t>
  </si>
  <si>
    <t>2025-01-12</t>
  </si>
  <si>
    <t>Pooja</t>
  </si>
  <si>
    <t>2025-04-14</t>
  </si>
  <si>
    <t>2025-01-27</t>
  </si>
  <si>
    <t>2025-03-24</t>
  </si>
  <si>
    <t>Amit</t>
  </si>
  <si>
    <t>2025-04-03</t>
  </si>
  <si>
    <t>2025-02-16</t>
  </si>
  <si>
    <t>Rahul</t>
  </si>
  <si>
    <t>2025-04-26</t>
  </si>
  <si>
    <t>2025-02-08</t>
  </si>
  <si>
    <t>2025-01-26</t>
  </si>
  <si>
    <t>Mumbai</t>
  </si>
  <si>
    <t>2025-01-13</t>
  </si>
  <si>
    <t>2025-02-20</t>
  </si>
  <si>
    <t>2025-03-28</t>
  </si>
  <si>
    <t>2025-01-09</t>
  </si>
  <si>
    <t>2025-04-18</t>
  </si>
  <si>
    <t>2025-01-15</t>
  </si>
  <si>
    <t>2025-01-04</t>
  </si>
  <si>
    <t>2025-04-02</t>
  </si>
  <si>
    <t>2025-04-07</t>
  </si>
  <si>
    <t>2025-01-22</t>
  </si>
  <si>
    <t>2025-03-29</t>
  </si>
  <si>
    <t>2025-04-24</t>
  </si>
  <si>
    <t>2025-03-07</t>
  </si>
  <si>
    <t>2025-03-30</t>
  </si>
  <si>
    <t>2025-03-25</t>
  </si>
  <si>
    <t>2025-03-06</t>
  </si>
  <si>
    <t>2025-03-13</t>
  </si>
  <si>
    <t>2025-03-02</t>
  </si>
  <si>
    <t>2025-03-04</t>
  </si>
  <si>
    <t>2025-01-01</t>
  </si>
  <si>
    <t>2025-03-08</t>
  </si>
  <si>
    <t>2025-02-10</t>
  </si>
  <si>
    <t>2025-04-10</t>
  </si>
  <si>
    <t>2025-02-14</t>
  </si>
  <si>
    <t>2025-01-30</t>
  </si>
  <si>
    <t>2025-04-16</t>
  </si>
  <si>
    <t>2025-04-05</t>
  </si>
  <si>
    <t>2025-01-24</t>
  </si>
  <si>
    <t>2025-03-15</t>
  </si>
  <si>
    <t>2025-01-03</t>
  </si>
  <si>
    <t>2025-01-29</t>
  </si>
  <si>
    <t>2025-01-16</t>
  </si>
  <si>
    <t>2025-01-14</t>
  </si>
  <si>
    <t>2025-01-02</t>
  </si>
  <si>
    <t>2025-02-28</t>
  </si>
  <si>
    <t>2025-04-11</t>
  </si>
  <si>
    <t>2025-03-31</t>
  </si>
  <si>
    <t>2025-03-03</t>
  </si>
  <si>
    <t>2025-02-24</t>
  </si>
  <si>
    <t>2025-03-14</t>
  </si>
  <si>
    <t>2025-04-09</t>
  </si>
  <si>
    <t>2025-02-15</t>
  </si>
  <si>
    <t>2025-02-23</t>
  </si>
  <si>
    <t>2025-04-29</t>
  </si>
  <si>
    <t>2025-02-02</t>
  </si>
  <si>
    <t>2025-01-17</t>
  </si>
  <si>
    <t>2025-01-18</t>
  </si>
  <si>
    <t>2025-02-01</t>
  </si>
  <si>
    <t>2025-04-22</t>
  </si>
  <si>
    <t>2025-01-08</t>
  </si>
  <si>
    <t>2025-02-12</t>
  </si>
  <si>
    <t>2025-03-18</t>
  </si>
  <si>
    <t>2025-02-07</t>
  </si>
  <si>
    <t>2025-02-04</t>
  </si>
  <si>
    <t>2025-01-31</t>
  </si>
  <si>
    <t>2025-03-10</t>
  </si>
  <si>
    <t>2025-01-19</t>
  </si>
  <si>
    <t>2025-02-03</t>
  </si>
  <si>
    <t>2025-02-22</t>
  </si>
  <si>
    <t>2025-01-28</t>
  </si>
  <si>
    <t>2025-03-12</t>
  </si>
  <si>
    <t>2025-04-30</t>
  </si>
  <si>
    <t>2025-03-22</t>
  </si>
  <si>
    <t>2025-03-20</t>
  </si>
  <si>
    <t>2025-04-15</t>
  </si>
  <si>
    <t>2025-02-26</t>
  </si>
  <si>
    <t>2025-02-06</t>
  </si>
  <si>
    <t>2025-04-25</t>
  </si>
  <si>
    <t>2025-03-16</t>
  </si>
  <si>
    <t>Festive</t>
  </si>
  <si>
    <t>Bars</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</si>
  <si>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</si>
  <si>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</si>
  <si>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</si>
  <si>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</si>
  <si>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</si>
  <si>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</si>
  <si>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</si>
  <si>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</si>
  <si>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</si>
  <si>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</si>
  <si>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</si>
  <si>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</si>
  <si>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</si>
  <si>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</si>
  <si>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</si>
  <si>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</si>
  <si>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</si>
  <si>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</si>
  <si>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</si>
  <si>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</si>
  <si>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</si>
  <si>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</si>
  <si>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</si>
  <si>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</si>
  <si>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</si>
  <si>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</si>
  <si>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</si>
  <si>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</si>
  <si>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</si>
  <si>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</si>
  <si>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Almond Crunch Bar</t>
  </si>
  <si>
    <t>Cashew Delight Bites</t>
  </si>
  <si>
    <t>Pistachio Fusion Chocolate</t>
  </si>
  <si>
    <t>Dark Fantasy Squares</t>
  </si>
  <si>
    <t>Caramel Crunch Cubes</t>
  </si>
  <si>
    <t>Nutella Filled Bites</t>
  </si>
  <si>
    <t>Kesar Milk Chocolate</t>
  </si>
  <si>
    <t>Fruit &amp; Nut Chocolate</t>
  </si>
  <si>
    <t>White Chocolate Truffle</t>
  </si>
  <si>
    <t>Coffee Mocha Bites</t>
  </si>
  <si>
    <t>Orange Zest Chocolate</t>
  </si>
  <si>
    <t>Mint Choco Squares</t>
  </si>
  <si>
    <t>Coconut Delight Bar</t>
  </si>
  <si>
    <t>Crunchy Wafer Chocolate</t>
  </si>
  <si>
    <t>Berry Blast Chocolate</t>
  </si>
  <si>
    <t>Silk Ganache Cubes</t>
  </si>
  <si>
    <t>Premium Cocoa Slabs</t>
  </si>
  <si>
    <t>Butterscotch Crunch Bar</t>
  </si>
  <si>
    <t>Choco Lava Bites</t>
  </si>
  <si>
    <t>Royal Dryfruit Mix</t>
  </si>
  <si>
    <t>Honey Almond Chocolate</t>
  </si>
  <si>
    <t>Choco Fudge Squares</t>
  </si>
  <si>
    <t>Milk Chocolate Coins</t>
  </si>
  <si>
    <t>Signature Cocoa Bars</t>
  </si>
  <si>
    <t>Velvet Truffle Bites</t>
  </si>
  <si>
    <t>Classic Dark Chocolate</t>
  </si>
  <si>
    <t>Golden Caramel Bites</t>
  </si>
  <si>
    <t>Choco Biscuit Pops</t>
  </si>
  <si>
    <t>Luxury Praline Box</t>
  </si>
  <si>
    <t>Festive Chocolate Pack</t>
  </si>
  <si>
    <t>Global Cocoa</t>
  </si>
  <si>
    <t>O0001</t>
  </si>
  <si>
    <t>2025-06-25</t>
  </si>
  <si>
    <t>Arjun</t>
  </si>
  <si>
    <t>O0002</t>
  </si>
  <si>
    <t>2025-04-21</t>
  </si>
  <si>
    <t>O0003</t>
  </si>
  <si>
    <t>Chennai</t>
  </si>
  <si>
    <t>O0004</t>
  </si>
  <si>
    <t>O0005</t>
  </si>
  <si>
    <t>O0006</t>
  </si>
  <si>
    <t>O0007</t>
  </si>
  <si>
    <t>O0008</t>
  </si>
  <si>
    <t>O0009</t>
  </si>
  <si>
    <t>Vikas</t>
  </si>
  <si>
    <t>O0010</t>
  </si>
  <si>
    <t>Anjali</t>
  </si>
  <si>
    <t>O0011</t>
  </si>
  <si>
    <t>2025-05-27</t>
  </si>
  <si>
    <t>O0012</t>
  </si>
  <si>
    <t>O0013</t>
  </si>
  <si>
    <t>2025-04-13</t>
  </si>
  <si>
    <t>O0014</t>
  </si>
  <si>
    <t>O0015</t>
  </si>
  <si>
    <t>O0016</t>
  </si>
  <si>
    <t>2025-06-11</t>
  </si>
  <si>
    <t>O0017</t>
  </si>
  <si>
    <t>Hyderabad</t>
  </si>
  <si>
    <t>O0018</t>
  </si>
  <si>
    <t>2025-06-06</t>
  </si>
  <si>
    <t>O0019</t>
  </si>
  <si>
    <t>2025-05-25</t>
  </si>
  <si>
    <t>O0020</t>
  </si>
  <si>
    <t>2025-05-24</t>
  </si>
  <si>
    <t>O0021</t>
  </si>
  <si>
    <t>2025-06-20</t>
  </si>
  <si>
    <t>O0022</t>
  </si>
  <si>
    <t>O0023</t>
  </si>
  <si>
    <t>O0024</t>
  </si>
  <si>
    <t>O0025</t>
  </si>
  <si>
    <t>O0026</t>
  </si>
  <si>
    <t>2025-06-30</t>
  </si>
  <si>
    <t>O0027</t>
  </si>
  <si>
    <t>2025-05-02</t>
  </si>
  <si>
    <t>O0028</t>
  </si>
  <si>
    <t>2025-03-21</t>
  </si>
  <si>
    <t>O0029</t>
  </si>
  <si>
    <t>O0030</t>
  </si>
  <si>
    <t>O0031</t>
  </si>
  <si>
    <t>O0032</t>
  </si>
  <si>
    <t>O0033</t>
  </si>
  <si>
    <t>Meera</t>
  </si>
  <si>
    <t>O0034</t>
  </si>
  <si>
    <t>O0035</t>
  </si>
  <si>
    <t>2025-01-21</t>
  </si>
  <si>
    <t>O0036</t>
  </si>
  <si>
    <t>2025-02-13</t>
  </si>
  <si>
    <t>O0037</t>
  </si>
  <si>
    <t>2025-05-07</t>
  </si>
  <si>
    <t>O0038</t>
  </si>
  <si>
    <t>O0039</t>
  </si>
  <si>
    <t>O0040</t>
  </si>
  <si>
    <t>2025-05-17</t>
  </si>
  <si>
    <t>O0041</t>
  </si>
  <si>
    <t>O0042</t>
  </si>
  <si>
    <t>O0043</t>
  </si>
  <si>
    <t>2025-05-05</t>
  </si>
  <si>
    <t>O0044</t>
  </si>
  <si>
    <t>O0045</t>
  </si>
  <si>
    <t>O0046</t>
  </si>
  <si>
    <t>O0047</t>
  </si>
  <si>
    <t>O0048</t>
  </si>
  <si>
    <t>O0049</t>
  </si>
  <si>
    <t>2025-06-27</t>
  </si>
  <si>
    <t>O0050</t>
  </si>
  <si>
    <t>2025-06-01</t>
  </si>
  <si>
    <t>O0051</t>
  </si>
  <si>
    <t>O0052</t>
  </si>
  <si>
    <t>2025-06-07</t>
  </si>
  <si>
    <t>O0053</t>
  </si>
  <si>
    <t>O0054</t>
  </si>
  <si>
    <t>O0055</t>
  </si>
  <si>
    <t>O0056</t>
  </si>
  <si>
    <t>O0057</t>
  </si>
  <si>
    <t>O0058</t>
  </si>
  <si>
    <t>2025-03-27</t>
  </si>
  <si>
    <t>O0059</t>
  </si>
  <si>
    <t>O0060</t>
  </si>
  <si>
    <t>O0061</t>
  </si>
  <si>
    <t>O0062</t>
  </si>
  <si>
    <t>2025-06-02</t>
  </si>
  <si>
    <t>O0063</t>
  </si>
  <si>
    <t>O0064</t>
  </si>
  <si>
    <t>O0065</t>
  </si>
  <si>
    <t>2025-01-06</t>
  </si>
  <si>
    <t>O0066</t>
  </si>
  <si>
    <t>O0067</t>
  </si>
  <si>
    <t>2025-02-05</t>
  </si>
  <si>
    <t>O0068</t>
  </si>
  <si>
    <t>O0069</t>
  </si>
  <si>
    <t>O0070</t>
  </si>
  <si>
    <t>O0071</t>
  </si>
  <si>
    <t>2025-05-06</t>
  </si>
  <si>
    <t>O0072</t>
  </si>
  <si>
    <t>O0073</t>
  </si>
  <si>
    <t>2025-06-14</t>
  </si>
  <si>
    <t>O0074</t>
  </si>
  <si>
    <t>O0075</t>
  </si>
  <si>
    <t>O0076</t>
  </si>
  <si>
    <t>2025-02-17</t>
  </si>
  <si>
    <t>O0077</t>
  </si>
  <si>
    <t>O0078</t>
  </si>
  <si>
    <t>2025-03-09</t>
  </si>
  <si>
    <t>O0079</t>
  </si>
  <si>
    <t>2025-01-10</t>
  </si>
  <si>
    <t>O0080</t>
  </si>
  <si>
    <t>2025-04-23</t>
  </si>
  <si>
    <t>O0081</t>
  </si>
  <si>
    <t>2025-06-18</t>
  </si>
  <si>
    <t>O0082</t>
  </si>
  <si>
    <t>O0083</t>
  </si>
  <si>
    <t>2025-06-29</t>
  </si>
  <si>
    <t>O0084</t>
  </si>
  <si>
    <t>2025-05-29</t>
  </si>
  <si>
    <t>O0085</t>
  </si>
  <si>
    <t>O0086</t>
  </si>
  <si>
    <t>O0087</t>
  </si>
  <si>
    <t>O0088</t>
  </si>
  <si>
    <t>O0089</t>
  </si>
  <si>
    <t>O0090</t>
  </si>
  <si>
    <t>O0091</t>
  </si>
  <si>
    <t>O0092</t>
  </si>
  <si>
    <t>O0093</t>
  </si>
  <si>
    <t>O0094</t>
  </si>
  <si>
    <t>O0095</t>
  </si>
  <si>
    <t>O0096</t>
  </si>
  <si>
    <t>O0097</t>
  </si>
  <si>
    <t>O0098</t>
  </si>
  <si>
    <t>O0099</t>
  </si>
  <si>
    <t>2025-03-23</t>
  </si>
  <si>
    <t>O0100</t>
  </si>
  <si>
    <t>O0101</t>
  </si>
  <si>
    <t>2025-04-28</t>
  </si>
  <si>
    <t>O0102</t>
  </si>
  <si>
    <t>O0103</t>
  </si>
  <si>
    <t>O0104</t>
  </si>
  <si>
    <t>O0105</t>
  </si>
  <si>
    <t>O0106</t>
  </si>
  <si>
    <t>O0107</t>
  </si>
  <si>
    <t>2025-03-19</t>
  </si>
  <si>
    <t>O0108</t>
  </si>
  <si>
    <t>O0109</t>
  </si>
  <si>
    <t>O0110</t>
  </si>
  <si>
    <t>2025-02-09</t>
  </si>
  <si>
    <t>O0111</t>
  </si>
  <si>
    <t>O0112</t>
  </si>
  <si>
    <t>O0113</t>
  </si>
  <si>
    <t>O0114</t>
  </si>
  <si>
    <t>O0115</t>
  </si>
  <si>
    <t>O0116</t>
  </si>
  <si>
    <t>2025-06-28</t>
  </si>
  <si>
    <t>O0117</t>
  </si>
  <si>
    <t>2025-06-16</t>
  </si>
  <si>
    <t>O0118</t>
  </si>
  <si>
    <t>2025-06-17</t>
  </si>
  <si>
    <t>O0119</t>
  </si>
  <si>
    <t>O0120</t>
  </si>
  <si>
    <t>2025-05-31</t>
  </si>
  <si>
    <t>O0121</t>
  </si>
  <si>
    <t>2025-06-22</t>
  </si>
  <si>
    <t>O0122</t>
  </si>
  <si>
    <t>O0123</t>
  </si>
  <si>
    <t>O0124</t>
  </si>
  <si>
    <t>O0125</t>
  </si>
  <si>
    <t>O0126</t>
  </si>
  <si>
    <t>2025-06-15</t>
  </si>
  <si>
    <t>O0127</t>
  </si>
  <si>
    <t>O0128</t>
  </si>
  <si>
    <t>O0129</t>
  </si>
  <si>
    <t>O0130</t>
  </si>
  <si>
    <t>O0131</t>
  </si>
  <si>
    <t>O0132</t>
  </si>
  <si>
    <t>O0133</t>
  </si>
  <si>
    <t>O0134</t>
  </si>
  <si>
    <t>2025-01-11</t>
  </si>
  <si>
    <t>O0135</t>
  </si>
  <si>
    <t>2025-06-12</t>
  </si>
  <si>
    <t>O0136</t>
  </si>
  <si>
    <t>O0137</t>
  </si>
  <si>
    <t>O0138</t>
  </si>
  <si>
    <t>O0139</t>
  </si>
  <si>
    <t>O0140</t>
  </si>
  <si>
    <t>2025-06-21</t>
  </si>
  <si>
    <t>O0141</t>
  </si>
  <si>
    <t>O0142</t>
  </si>
  <si>
    <t>O0143</t>
  </si>
  <si>
    <t>O0144</t>
  </si>
  <si>
    <t>2025-01-25</t>
  </si>
  <si>
    <t>O0145</t>
  </si>
  <si>
    <t>2025-05-30</t>
  </si>
  <si>
    <t>O0146</t>
  </si>
  <si>
    <t>O0147</t>
  </si>
  <si>
    <t>O0148</t>
  </si>
  <si>
    <t>O0149</t>
  </si>
  <si>
    <t>2025-04-12</t>
  </si>
  <si>
    <t>O0150</t>
  </si>
  <si>
    <t>O0151</t>
  </si>
  <si>
    <t>O0152</t>
  </si>
  <si>
    <t>O0153</t>
  </si>
  <si>
    <t>O0154</t>
  </si>
  <si>
    <t>O0155</t>
  </si>
  <si>
    <t>O0156</t>
  </si>
  <si>
    <t>O0157</t>
  </si>
  <si>
    <t>O0158</t>
  </si>
  <si>
    <t>O0159</t>
  </si>
  <si>
    <t>O0160</t>
  </si>
  <si>
    <t>O0161</t>
  </si>
  <si>
    <t>O0162</t>
  </si>
  <si>
    <t>2025-05-10</t>
  </si>
  <si>
    <t>O0163</t>
  </si>
  <si>
    <t>O0164</t>
  </si>
  <si>
    <t>O0165</t>
  </si>
  <si>
    <t>O0166</t>
  </si>
  <si>
    <t>O0167</t>
  </si>
  <si>
    <t>O0168</t>
  </si>
  <si>
    <t>O0169</t>
  </si>
  <si>
    <t>O0170</t>
  </si>
  <si>
    <t>O0171</t>
  </si>
  <si>
    <t>O0172</t>
  </si>
  <si>
    <t>O0173</t>
  </si>
  <si>
    <t>O0174</t>
  </si>
  <si>
    <t>O0175</t>
  </si>
  <si>
    <t>2025-06-19</t>
  </si>
  <si>
    <t>O0176</t>
  </si>
  <si>
    <t>O0177</t>
  </si>
  <si>
    <t>O0178</t>
  </si>
  <si>
    <t>O0179</t>
  </si>
  <si>
    <t>O0180</t>
  </si>
  <si>
    <t>O0181</t>
  </si>
  <si>
    <t>2025-05-16</t>
  </si>
  <si>
    <t>O0182</t>
  </si>
  <si>
    <t>O0183</t>
  </si>
  <si>
    <t>O0184</t>
  </si>
  <si>
    <t>2025-05-14</t>
  </si>
  <si>
    <t>O0185</t>
  </si>
  <si>
    <t>O0186</t>
  </si>
  <si>
    <t>O0187</t>
  </si>
  <si>
    <t>O0188</t>
  </si>
  <si>
    <t>O0189</t>
  </si>
  <si>
    <t>O0190</t>
  </si>
  <si>
    <t>2025-05-11</t>
  </si>
  <si>
    <t>O0191</t>
  </si>
  <si>
    <t>O0192</t>
  </si>
  <si>
    <t>O0193</t>
  </si>
  <si>
    <t>O0194</t>
  </si>
  <si>
    <t>O0195</t>
  </si>
  <si>
    <t>O0196</t>
  </si>
  <si>
    <t>2025-05-22</t>
  </si>
  <si>
    <t>O0197</t>
  </si>
  <si>
    <t>2025-05-09</t>
  </si>
  <si>
    <t>O0198</t>
  </si>
  <si>
    <t>O0199</t>
  </si>
  <si>
    <t>O0200</t>
  </si>
  <si>
    <t>O0201</t>
  </si>
  <si>
    <t>O0202</t>
  </si>
  <si>
    <t>O0203</t>
  </si>
  <si>
    <t>O0204</t>
  </si>
  <si>
    <t>O0205</t>
  </si>
  <si>
    <t>O0206</t>
  </si>
  <si>
    <t>O0207</t>
  </si>
  <si>
    <t>O0208</t>
  </si>
  <si>
    <t>2025-05-21</t>
  </si>
  <si>
    <t>O0209</t>
  </si>
  <si>
    <t>O0210</t>
  </si>
  <si>
    <t>O0211</t>
  </si>
  <si>
    <t>O0212</t>
  </si>
  <si>
    <t>O0213</t>
  </si>
  <si>
    <t>O0214</t>
  </si>
  <si>
    <t>2025-06-24</t>
  </si>
  <si>
    <t>O0215</t>
  </si>
  <si>
    <t>O0216</t>
  </si>
  <si>
    <t>2025-05-01</t>
  </si>
  <si>
    <t>O0217</t>
  </si>
  <si>
    <t>O0218</t>
  </si>
  <si>
    <t>O0219</t>
  </si>
  <si>
    <t>O0220</t>
  </si>
  <si>
    <t>2025-01-23</t>
  </si>
  <si>
    <t>O0221</t>
  </si>
  <si>
    <t>O0222</t>
  </si>
  <si>
    <t>O0223</t>
  </si>
  <si>
    <t>O0224</t>
  </si>
  <si>
    <t>O0225</t>
  </si>
  <si>
    <t>O0226</t>
  </si>
  <si>
    <t>O0227</t>
  </si>
  <si>
    <t>O0228</t>
  </si>
  <si>
    <t>O0229</t>
  </si>
  <si>
    <t>O0230</t>
  </si>
  <si>
    <t>O0231</t>
  </si>
  <si>
    <t>O0232</t>
  </si>
  <si>
    <t>O0233</t>
  </si>
  <si>
    <t>O0234</t>
  </si>
  <si>
    <t>O0235</t>
  </si>
  <si>
    <t>2025-05-13</t>
  </si>
  <si>
    <t>O0236</t>
  </si>
  <si>
    <t>O0237</t>
  </si>
  <si>
    <t>O0238</t>
  </si>
  <si>
    <t>2025-04-20</t>
  </si>
  <si>
    <t>O0239</t>
  </si>
  <si>
    <t>2025-05-15</t>
  </si>
  <si>
    <t>O0240</t>
  </si>
  <si>
    <t>O0241</t>
  </si>
  <si>
    <t>2025-06-08</t>
  </si>
  <si>
    <t>O0242</t>
  </si>
  <si>
    <t>O0243</t>
  </si>
  <si>
    <t>O0244</t>
  </si>
  <si>
    <t>2025-06-04</t>
  </si>
  <si>
    <t>O0245</t>
  </si>
  <si>
    <t>2025-05-28</t>
  </si>
  <si>
    <t>O0246</t>
  </si>
  <si>
    <t>O0247</t>
  </si>
  <si>
    <t>O0248</t>
  </si>
  <si>
    <t>O0249</t>
  </si>
  <si>
    <t>O0250</t>
  </si>
  <si>
    <t>O0251</t>
  </si>
  <si>
    <t>O0252</t>
  </si>
  <si>
    <t>O0253</t>
  </si>
  <si>
    <t>O0254</t>
  </si>
  <si>
    <t>O0255</t>
  </si>
  <si>
    <t>2025-05-03</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</si>
  <si>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</si>
  <si>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</si>
  <si>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</si>
  <si>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</si>
  <si>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</si>
  <si>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</si>
  <si>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</si>
  <si>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</si>
  <si>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</si>
  <si>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</si>
  <si>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</si>
  <si>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</si>
  <si>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</si>
  <si>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</si>
  <si>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</si>
  <si>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</si>
  <si>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</si>
  <si>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</si>
  <si>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</si>
  <si>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</si>
  <si>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2025-06-26</t>
  </si>
  <si>
    <t>O0276</t>
  </si>
  <si>
    <t>2025-05-19</t>
  </si>
  <si>
    <t>O0277</t>
  </si>
  <si>
    <t>O0278</t>
  </si>
  <si>
    <t>O0279</t>
  </si>
  <si>
    <t>O0280</t>
  </si>
  <si>
    <t>O0281</t>
  </si>
  <si>
    <t>O0282</t>
  </si>
  <si>
    <t>O0283</t>
  </si>
  <si>
    <t>O0284</t>
  </si>
  <si>
    <t>O0285</t>
  </si>
  <si>
    <t>O0286</t>
  </si>
  <si>
    <t>2025-05-18</t>
  </si>
  <si>
    <t>O0287</t>
  </si>
  <si>
    <t>O0288</t>
  </si>
  <si>
    <t>2025-05-23</t>
  </si>
  <si>
    <t>O0289</t>
  </si>
  <si>
    <t>O0290</t>
  </si>
  <si>
    <t>O0291</t>
  </si>
  <si>
    <t>O0292</t>
  </si>
  <si>
    <t>O0293</t>
  </si>
  <si>
    <t>O0294</t>
  </si>
  <si>
    <t>O0295</t>
  </si>
  <si>
    <t>O0296</t>
  </si>
  <si>
    <t>O0297</t>
  </si>
  <si>
    <t>O0298</t>
  </si>
  <si>
    <t>O0299</t>
  </si>
  <si>
    <t>O0300</t>
  </si>
  <si>
    <t>O0301</t>
  </si>
  <si>
    <t>O0302</t>
  </si>
  <si>
    <t>2025-06-09</t>
  </si>
  <si>
    <t>O0303</t>
  </si>
  <si>
    <t>O0304</t>
  </si>
  <si>
    <t>O0305</t>
  </si>
  <si>
    <t>O0306</t>
  </si>
  <si>
    <t>O0307</t>
  </si>
  <si>
    <t>O0308</t>
  </si>
  <si>
    <t>O0309</t>
  </si>
  <si>
    <t>2025-06-05</t>
  </si>
  <si>
    <t>O0310</t>
  </si>
  <si>
    <t>O0311</t>
  </si>
  <si>
    <t>2025-04-17</t>
  </si>
  <si>
    <t>O0312</t>
  </si>
  <si>
    <t>O0313</t>
  </si>
  <si>
    <t>O0314</t>
  </si>
  <si>
    <t>2025-06-13</t>
  </si>
  <si>
    <t>O0315</t>
  </si>
  <si>
    <t>2025-02-27</t>
  </si>
  <si>
    <t>O0316</t>
  </si>
  <si>
    <t>O0317</t>
  </si>
  <si>
    <t>O0318</t>
  </si>
  <si>
    <t>O0319</t>
  </si>
  <si>
    <t>O0320</t>
  </si>
  <si>
    <t>O0321</t>
  </si>
  <si>
    <t>2025-03-26</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</si>
  <si>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</si>
  <si>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</si>
  <si>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</si>
  <si>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</si>
  <si>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</si>
  <si>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</si>
  <si>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</si>
  <si>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</si>
  <si>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</si>
  <si>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</si>
  <si>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</si>
  <si>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</si>
  <si>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</si>
  <si>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</si>
  <si>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</si>
  <si>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</si>
  <si>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</si>
  <si>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</si>
  <si>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</si>
  <si>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</si>
  <si>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</si>
  <si>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</si>
  <si>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</si>
  <si>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2025-04-06</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</si>
  <si>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</si>
  <si>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</si>
  <si>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</si>
  <si>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</si>
  <si>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</si>
  <si>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</si>
  <si>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</si>
  <si>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</si>
  <si>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</si>
  <si>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</si>
  <si>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</si>
  <si>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</si>
  <si>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</si>
  <si>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</si>
  <si>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</si>
  <si>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</si>
  <si>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</si>
  <si>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</si>
  <si>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</si>
  <si>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</si>
  <si>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</si>
  <si>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</si>
  <si>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</si>
  <si>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</si>
  <si>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</si>
  <si>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</si>
  <si>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</si>
  <si>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</si>
  <si>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</si>
  <si>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</si>
  <si>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</si>
  <si>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</si>
  <si>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</si>
  <si>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</si>
  <si>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</si>
  <si>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</si>
  <si>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</si>
  <si>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</si>
  <si>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</si>
  <si>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</si>
  <si>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</si>
  <si>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</si>
  <si>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</si>
  <si>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</si>
  <si>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</si>
  <si>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</si>
  <si>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</si>
  <si>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</si>
  <si>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</si>
  <si>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</si>
  <si>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</si>
  <si>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</si>
  <si>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2025-05-08</t>
  </si>
  <si>
    <t>O0397</t>
  </si>
  <si>
    <t>O0398</t>
  </si>
  <si>
    <t>O0399</t>
  </si>
  <si>
    <t>O0400</t>
  </si>
  <si>
    <t>O0401</t>
  </si>
  <si>
    <t>O0402</t>
  </si>
  <si>
    <t>O0403</t>
  </si>
  <si>
    <t>O0404</t>
  </si>
  <si>
    <t>O0405</t>
  </si>
  <si>
    <t>O0406</t>
  </si>
  <si>
    <t>2025-05-12</t>
  </si>
  <si>
    <t>O0407</t>
  </si>
  <si>
    <t>O0408</t>
  </si>
  <si>
    <t>O0409</t>
  </si>
  <si>
    <t>O0410</t>
  </si>
  <si>
    <t>O0411</t>
  </si>
  <si>
    <t>O0412</t>
  </si>
  <si>
    <t>O0413</t>
  </si>
  <si>
    <t>O0414</t>
  </si>
  <si>
    <t>O0415</t>
  </si>
  <si>
    <t>2025-06-23</t>
  </si>
  <si>
    <t>O0416</t>
  </si>
  <si>
    <t>O0417</t>
  </si>
  <si>
    <t>O0418</t>
  </si>
  <si>
    <t>O0419</t>
  </si>
  <si>
    <t>O0420</t>
  </si>
  <si>
    <t>O0421</t>
  </si>
  <si>
    <t>O0422</t>
  </si>
  <si>
    <t>O0423</t>
  </si>
  <si>
    <t>O0424</t>
  </si>
  <si>
    <t>O0425</t>
  </si>
  <si>
    <t>O0426</t>
  </si>
  <si>
    <t>O0427</t>
  </si>
  <si>
    <t>O0428</t>
  </si>
  <si>
    <t>O0429</t>
  </si>
  <si>
    <t>O0430</t>
  </si>
  <si>
    <t>2025-06-03</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</si>
  <si>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</si>
  <si>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</si>
  <si>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</si>
  <si>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</si>
  <si>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</si>
  <si>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</si>
  <si>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</si>
  <si>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</si>
  <si>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</si>
  <si>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</si>
  <si>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</si>
  <si>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</si>
  <si>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</si>
  <si>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</si>
  <si>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</si>
  <si>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</si>
  <si>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</si>
  <si>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</si>
  <si>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</si>
  <si>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</si>
  <si>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</si>
  <si>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</si>
  <si>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</si>
  <si>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</si>
  <si>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</si>
  <si>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</si>
  <si>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</si>
  <si>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</si>
  <si>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</si>
  <si>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</si>
  <si>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</si>
  <si>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</si>
  <si>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</si>
  <si>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</si>
  <si>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2025-05-04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</si>
  <si>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</si>
  <si>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</si>
  <si>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</si>
  <si>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</si>
  <si>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</si>
  <si>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</si>
  <si>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</si>
  <si>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</si>
  <si>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</si>
  <si>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</si>
  <si>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</si>
  <si>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</si>
  <si>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</si>
  <si>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</si>
  <si>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</si>
  <si>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</si>
  <si>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</si>
  <si>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</si>
  <si>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</si>
  <si>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</si>
  <si>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</si>
  <si>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</si>
  <si>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</si>
  <si>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</si>
  <si>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</si>
  <si>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</si>
  <si>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</si>
  <si>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</si>
  <si>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</si>
  <si>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</si>
  <si>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</si>
  <si>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</si>
  <si>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</si>
  <si>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</si>
  <si>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</si>
  <si>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</si>
  <si>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Month</t>
  </si>
  <si>
    <t>Row Labels</t>
  </si>
  <si>
    <t>Grand Total</t>
  </si>
  <si>
    <t>Total Profit</t>
  </si>
  <si>
    <t>Total Sales</t>
  </si>
  <si>
    <t>Profit Margin</t>
  </si>
  <si>
    <t>Total Order</t>
  </si>
  <si>
    <t>Total Quantity Sold</t>
  </si>
  <si>
    <t>Avg. Order value</t>
  </si>
  <si>
    <t xml:space="preserve">inventory </t>
  </si>
  <si>
    <t xml:space="preserve"> Inventory value</t>
  </si>
  <si>
    <t>average inventory</t>
  </si>
  <si>
    <t>Turnover</t>
  </si>
  <si>
    <t>Inventory Turnover</t>
  </si>
  <si>
    <t>Jan</t>
  </si>
  <si>
    <t>Feb</t>
  </si>
  <si>
    <t>Mar</t>
  </si>
  <si>
    <t>Apr</t>
  </si>
  <si>
    <t>May</t>
  </si>
  <si>
    <t>Jun</t>
  </si>
  <si>
    <t>sales</t>
  </si>
  <si>
    <t>total profit</t>
  </si>
  <si>
    <t>Sales</t>
  </si>
  <si>
    <t>margin</t>
  </si>
  <si>
    <t>profit</t>
  </si>
  <si>
    <t>profit margin</t>
  </si>
  <si>
    <t xml:space="preserve"> profit</t>
  </si>
  <si>
    <t>health</t>
  </si>
  <si>
    <t>Healthy Stock</t>
  </si>
  <si>
    <t>Low Stock</t>
  </si>
  <si>
    <t>Medium Stock</t>
  </si>
  <si>
    <t>Count of Current_Stock</t>
  </si>
  <si>
    <t>turnover</t>
  </si>
  <si>
    <t>Sum of turnover</t>
  </si>
  <si>
    <t>Customer Name</t>
  </si>
  <si>
    <t>value</t>
  </si>
  <si>
    <t>cost price</t>
  </si>
  <si>
    <t>Selling Price</t>
  </si>
  <si>
    <t>inventory value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</si>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</sst>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quot;₹&quot;\ #,##0.00"/>
    <numFmt numFmtId="165" formatCode="&quot;₹&quot;\ #,##0"/>
    <numFmt numFmtId="166" formatCode="_ [$₹-4009]\ * #,##0.00_ ;_ [$₹-4009]\ * \-#,##0.00_ ;_ [$₹-4009]\ * &quot;-&quot;??_ ;_ @_ "/>
  </numFmts>
  <fonts count="7">
    <font>
      <sz val="11"/>
      <color theme="1"/>
      <name val="Calibri"/>
      <family val="2"/>
      <scheme val="minor"/>
    </font>
    <font>
      <sz val="11"/>
      <color theme="1"/>
      <name val="Calibri"/>
      <family val="2"/>
      <scheme val="minor"/>
    </font>
    <font>
      <sz val="11"/>
      <color indexed="8"/>
      <name val="Calibri"/>
      <charset val="134"/>
    </font>
    <font>
      <b/>
      <sz val="12"/>
      <color rgb="FF7030A0"/>
      <name val="Swis721 WGL4 BT"/>
      <family val="2"/>
    </font>
    <font>
      <b/>
      <sz val="11"/>
      <color theme="1"/>
      <name val="Calibri"/>
      <family val="2"/>
      <scheme val="minor"/>
    </font>
    <font>
      <sz val="11"/>
      <color indexed="8"/>
      <name val="Calibri"/>
      <family val="2"/>
    </font>
    <font>
      <sz val="10"/>
      <color theme="1"/>
      <name val="Calibri"/>
      <family val="2"/>
      <scheme val="minor"/>
    </font>
  </fonts>
  <fills count="5">
    <fill>
      <patternFill patternType="none"/>
    </fill>
    <fill>
      <patternFill patternType="gray125"/>
    </fill>
    <fill>
      <patternFill patternType="solid">
        <fgColor rgb="FF7030A0"/>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2" fillId="0" borderId="0" xfId="0" applyFont="1"/>
    <xf numFmtId="164" fontId="2" fillId="0" borderId="0" xfId="1" applyNumberFormat="1" applyFont="1" applyFill="1" applyBorder="1" applyAlignment="1" applyProtection="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64" fontId="3" fillId="2" borderId="0" xfId="0" applyNumberFormat="1" applyFont="1" applyFill="1"/>
    <xf numFmtId="9" fontId="0" fillId="2" borderId="0" xfId="2" applyFont="1" applyFill="1"/>
    <xf numFmtId="9" fontId="0" fillId="0" borderId="0" xfId="2" applyFont="1"/>
    <xf numFmtId="0" fontId="4" fillId="3" borderId="0" xfId="0" applyFont="1" applyFill="1"/>
    <xf numFmtId="0" fontId="5" fillId="0" borderId="0" xfId="0" applyFont="1"/>
    <xf numFmtId="2" fontId="0" fillId="0" borderId="0" xfId="0" applyNumberFormat="1" applyAlignment="1">
      <alignment horizontal="left" indent="7"/>
    </xf>
    <xf numFmtId="9" fontId="2" fillId="0" borderId="0" xfId="2" applyFont="1"/>
    <xf numFmtId="9" fontId="0" fillId="0" borderId="0" xfId="0" applyNumberFormat="1"/>
    <xf numFmtId="0" fontId="4" fillId="4" borderId="1" xfId="0" applyFont="1" applyFill="1" applyBorder="1"/>
    <xf numFmtId="2" fontId="2" fillId="0" borderId="0" xfId="0" applyNumberFormat="1" applyFont="1"/>
    <xf numFmtId="2" fontId="0" fillId="0" borderId="0" xfId="0" applyNumberFormat="1"/>
    <xf numFmtId="44" fontId="2" fillId="0" borderId="0" xfId="1" applyFont="1"/>
    <xf numFmtId="165" fontId="0" fillId="0" borderId="0" xfId="0" applyNumberFormat="1"/>
    <xf numFmtId="10" fontId="0" fillId="0" borderId="0" xfId="0" applyNumberFormat="1"/>
    <xf numFmtId="166" fontId="0" fillId="0" borderId="0" xfId="0" applyNumberFormat="1"/>
    <xf numFmtId="0" fontId="4" fillId="4" borderId="2" xfId="0" applyFont="1" applyFill="1" applyBorder="1" applyAlignment="1">
      <alignment horizontal="left"/>
    </xf>
    <xf numFmtId="0" fontId="4" fillId="4" borderId="2" xfId="0" applyFont="1" applyFill="1" applyBorder="1"/>
    <xf numFmtId="0" fontId="0" fillId="0" borderId="0" xfId="0" applyNumberFormat="1"/>
    <xf numFmtId="0" fontId="6" fillId="2" borderId="0" xfId="0" applyFont="1" applyFill="1"/>
  </cellXfs>
  <cellStyles count="3">
    <cellStyle name="Currency" xfId="1" builtinId="4"/>
    <cellStyle name="Normal" xfId="0" builtinId="0"/>
    <cellStyle name="Percent" xfId="2" builtinId="5"/>
  </cellStyles>
  <dxfs count="21">
    <dxf>
      <numFmt numFmtId="164" formatCode="&quot;₹&quot;\ #,##0.00"/>
    </dxf>
    <dxf>
      <numFmt numFmtId="164" formatCode="&quot;₹&quot;\ #,##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64" formatCode="&quot;₹&quot;\ #,##0.00"/>
    </dxf>
    <dxf>
      <numFmt numFmtId="164" formatCode="&quot;₹&quot;\ #,##0.00"/>
    </dxf>
    <dxf>
      <numFmt numFmtId="164" formatCode="&quot;₹&quot;\ #,##0.00"/>
    </dxf>
    <dxf>
      <font>
        <color rgb="FFEEF4FB"/>
      </font>
      <fill>
        <patternFill>
          <bgColor rgb="FF000099"/>
        </patternFill>
      </fill>
    </dxf>
    <dxf>
      <fill>
        <patternFill>
          <bgColor rgb="FF000099"/>
        </patternFill>
      </fill>
    </dxf>
  </dxfs>
  <tableStyles count="2" defaultTableStyle="TableStyleMedium2" defaultPivotStyle="PivotStyleLight16">
    <tableStyle name="Slicer Style 1" pivot="0" table="0" count="3" xr9:uid="{EC486904-C866-4371-8489-14AD10F1F695}">
      <tableStyleElement type="headerRow" dxfId="20"/>
    </tableStyle>
    <tableStyle name="Slicer Style 2" pivot="0" table="0" count="4" xr9:uid="{29871D3B-F87F-41F0-A621-9C1BC2E9F026}">
      <tableStyleElement type="headerRow" dxfId="19"/>
    </tableStyle>
  </tableStyles>
  <colors>
    <mruColors>
      <color rgb="FFCC00CC"/>
      <color rgb="FFF5F7FA"/>
      <color rgb="FFEEF4FB"/>
      <color rgb="FFEEFD7B"/>
      <color rgb="FFE2EF39"/>
      <color rgb="FFFFE497"/>
      <color rgb="FFFFFFCC"/>
      <color rgb="FFFFFF99"/>
      <color rgb="FF000099"/>
      <color rgb="FFD9E6F2"/>
    </mruColors>
  </colors>
  <extLst>
    <ext xmlns:x14="http://schemas.microsoft.com/office/spreadsheetml/2009/9/main" uri="{46F421CA-312F-682f-3DD2-61675219B42D}">
      <x14:dxfs count="5">
        <dxf>
          <fill>
            <patternFill>
              <bgColor theme="8" tint="0.59996337778862885"/>
            </patternFill>
          </fill>
        </dxf>
        <dxf>
          <fill>
            <patternFill>
              <bgColor theme="8" tint="-0.24994659260841701"/>
            </patternFill>
          </fill>
        </dxf>
        <dxf>
          <fill>
            <patternFill>
              <bgColor theme="8" tint="0.39994506668294322"/>
            </patternFill>
          </fill>
        </dxf>
        <dxf>
          <fill>
            <patternFill>
              <bgColor theme="8" tint="-0.24994659260841701"/>
            </patternFill>
          </fill>
        </dxf>
        <dxf>
          <fill>
            <patternFill>
              <bgColor theme="8"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Trend (Month-wise)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Sales_Data!$S$4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Sales_Data!$R$5:$R$11</c:f>
              <c:strCache>
                <c:ptCount val="6"/>
                <c:pt idx="0">
                  <c:v>Jan</c:v>
                </c:pt>
                <c:pt idx="1">
                  <c:v>Feb</c:v>
                </c:pt>
                <c:pt idx="2">
                  <c:v>Mar</c:v>
                </c:pt>
                <c:pt idx="3">
                  <c:v>Apr</c:v>
                </c:pt>
                <c:pt idx="4">
                  <c:v>May</c:v>
                </c:pt>
                <c:pt idx="5">
                  <c:v>Jun</c:v>
                </c:pt>
              </c:strCache>
            </c:strRef>
          </c:cat>
          <c:val>
            <c:numRef>
              <c:f>Sales_Data!$S$5:$S$11</c:f>
              <c:numCache>
                <c:formatCode>General</c:formatCode>
                <c:ptCount val="6"/>
                <c:pt idx="0">
                  <c:v>88968.650000000009</c:v>
                </c:pt>
                <c:pt idx="1">
                  <c:v>62529.05</c:v>
                </c:pt>
                <c:pt idx="2">
                  <c:v>83526.349999999991</c:v>
                </c:pt>
                <c:pt idx="3">
                  <c:v>81735.700000000012</c:v>
                </c:pt>
                <c:pt idx="4">
                  <c:v>66014.35000000002</c:v>
                </c:pt>
                <c:pt idx="5">
                  <c:v>65598.049999999988</c:v>
                </c:pt>
              </c:numCache>
            </c:numRef>
          </c:val>
          <c:smooth val="0"/>
          <c:extLst>
            <c:ext xmlns:c16="http://schemas.microsoft.com/office/drawing/2014/chart" uri="{C3380CC4-5D6E-409C-BE32-E72D297353CC}">
              <c16:uniqueId val="{00000000-6289-4CAA-A48A-9722FFC99C9F}"/>
            </c:ext>
          </c:extLst>
        </c:ser>
        <c:dLbls>
          <c:showLegendKey val="0"/>
          <c:showVal val="0"/>
          <c:showCatName val="0"/>
          <c:showSerName val="0"/>
          <c:showPercent val="0"/>
          <c:showBubbleSize val="0"/>
        </c:dLbls>
        <c:marker val="1"/>
        <c:smooth val="0"/>
        <c:axId val="2023987056"/>
        <c:axId val="2023988976"/>
      </c:lineChart>
      <c:catAx>
        <c:axId val="20239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88976"/>
        <c:crosses val="autoZero"/>
        <c:auto val="1"/>
        <c:lblAlgn val="ctr"/>
        <c:lblOffset val="100"/>
        <c:noMultiLvlLbl val="0"/>
      </c:catAx>
      <c:valAx>
        <c:axId val="20239889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87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26096876124162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2222222222222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Sales_Data!$S$13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0-4B34-98FC-A87A10E14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0-4B34-98FC-A87A10E14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00-4B34-98FC-A87A10E14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00-4B34-98FC-A87A10E14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00-4B34-98FC-A87A10E14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00-4B34-98FC-A87A10E1494C}"/>
              </c:ext>
            </c:extLst>
          </c:dPt>
          <c:dLbls>
            <c:dLbl>
              <c:idx val="0"/>
              <c:layout>
                <c:manualLayout>
                  <c:x val="3.3260968761241621E-3"/>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00-4B34-98FC-A87A10E1494C}"/>
                </c:ext>
              </c:extLst>
            </c:dLbl>
            <c:dLbl>
              <c:idx val="1"/>
              <c:layout>
                <c:manualLayout>
                  <c:x val="7.2222222222222215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00-4B34-98FC-A87A10E149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Sales_Data!$R$14:$R$20</c:f>
              <c:strCache>
                <c:ptCount val="6"/>
                <c:pt idx="0">
                  <c:v>Bangalore</c:v>
                </c:pt>
                <c:pt idx="1">
                  <c:v>Chennai</c:v>
                </c:pt>
                <c:pt idx="2">
                  <c:v>Delhi</c:v>
                </c:pt>
                <c:pt idx="3">
                  <c:v>Hyderabad</c:v>
                </c:pt>
                <c:pt idx="4">
                  <c:v>Mumbai</c:v>
                </c:pt>
                <c:pt idx="5">
                  <c:v>Pune</c:v>
                </c:pt>
              </c:strCache>
            </c:strRef>
          </c:cat>
          <c:val>
            <c:numRef>
              <c:f>Sales_Data!$S$14:$S$20</c:f>
              <c:numCache>
                <c:formatCode>General</c:formatCode>
                <c:ptCount val="6"/>
                <c:pt idx="0">
                  <c:v>82119.799999999988</c:v>
                </c:pt>
                <c:pt idx="1">
                  <c:v>80975.7</c:v>
                </c:pt>
                <c:pt idx="2">
                  <c:v>73435.10000000002</c:v>
                </c:pt>
                <c:pt idx="3">
                  <c:v>68341.900000000009</c:v>
                </c:pt>
                <c:pt idx="4">
                  <c:v>67032.799999999988</c:v>
                </c:pt>
                <c:pt idx="5">
                  <c:v>76466.849999999977</c:v>
                </c:pt>
              </c:numCache>
            </c:numRef>
          </c:val>
          <c:extLst>
            <c:ext xmlns:c16="http://schemas.microsoft.com/office/drawing/2014/chart" uri="{C3380CC4-5D6E-409C-BE32-E72D297353CC}">
              <c16:uniqueId val="{0000000C-5400-4B34-98FC-A87A10E1494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6811875991833303"/>
          <c:y val="0.19738095916237067"/>
          <c:w val="0.33188124008166708"/>
          <c:h val="0.80261904083762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Sales_Data!$W$4</c:f>
              <c:strCache>
                <c:ptCount val="1"/>
                <c:pt idx="0">
                  <c:v>Sales</c:v>
                </c:pt>
              </c:strCache>
            </c:strRef>
          </c:tx>
          <c:spPr>
            <a:solidFill>
              <a:schemeClr val="accent1"/>
            </a:solidFill>
            <a:ln>
              <a:noFill/>
            </a:ln>
            <a:effectLst/>
          </c:spPr>
          <c:invertIfNegative val="0"/>
          <c:cat>
            <c:strRef>
              <c:f>Sales_Data!$V$5:$V$10</c:f>
              <c:strCache>
                <c:ptCount val="5"/>
                <c:pt idx="0">
                  <c:v>Bars</c:v>
                </c:pt>
                <c:pt idx="1">
                  <c:v>Cookies</c:v>
                </c:pt>
                <c:pt idx="2">
                  <c:v>Festive</c:v>
                </c:pt>
                <c:pt idx="3">
                  <c:v>Premium</c:v>
                </c:pt>
                <c:pt idx="4">
                  <c:v>Snacks</c:v>
                </c:pt>
              </c:strCache>
            </c:strRef>
          </c:cat>
          <c:val>
            <c:numRef>
              <c:f>Sales_Data!$W$5:$W$10</c:f>
              <c:numCache>
                <c:formatCode>General</c:formatCode>
                <c:ptCount val="5"/>
                <c:pt idx="0">
                  <c:v>92694.499999999985</c:v>
                </c:pt>
                <c:pt idx="1">
                  <c:v>121242.70000000001</c:v>
                </c:pt>
                <c:pt idx="2">
                  <c:v>107131.80000000002</c:v>
                </c:pt>
                <c:pt idx="3">
                  <c:v>60312.2</c:v>
                </c:pt>
                <c:pt idx="4">
                  <c:v>66990.950000000012</c:v>
                </c:pt>
              </c:numCache>
            </c:numRef>
          </c:val>
          <c:extLst>
            <c:ext xmlns:c16="http://schemas.microsoft.com/office/drawing/2014/chart" uri="{C3380CC4-5D6E-409C-BE32-E72D297353CC}">
              <c16:uniqueId val="{00000000-5208-4CF5-A40D-750285E007EB}"/>
            </c:ext>
          </c:extLst>
        </c:ser>
        <c:ser>
          <c:idx val="1"/>
          <c:order val="1"/>
          <c:tx>
            <c:strRef>
              <c:f>Sales_Data!$X$4</c:f>
              <c:strCache>
                <c:ptCount val="1"/>
                <c:pt idx="0">
                  <c:v>profit</c:v>
                </c:pt>
              </c:strCache>
            </c:strRef>
          </c:tx>
          <c:spPr>
            <a:solidFill>
              <a:srgbClr val="FFFF00"/>
            </a:solidFill>
            <a:ln>
              <a:noFill/>
            </a:ln>
            <a:effectLst/>
          </c:spPr>
          <c:invertIfNegative val="0"/>
          <c:cat>
            <c:strRef>
              <c:f>Sales_Data!$V$5:$V$10</c:f>
              <c:strCache>
                <c:ptCount val="5"/>
                <c:pt idx="0">
                  <c:v>Bars</c:v>
                </c:pt>
                <c:pt idx="1">
                  <c:v>Cookies</c:v>
                </c:pt>
                <c:pt idx="2">
                  <c:v>Festive</c:v>
                </c:pt>
                <c:pt idx="3">
                  <c:v>Premium</c:v>
                </c:pt>
                <c:pt idx="4">
                  <c:v>Snacks</c:v>
                </c:pt>
              </c:strCache>
            </c:strRef>
          </c:cat>
          <c:val>
            <c:numRef>
              <c:f>Sales_Data!$X$5:$X$10</c:f>
              <c:numCache>
                <c:formatCode>"₹"\ #,##0.00</c:formatCode>
                <c:ptCount val="5"/>
                <c:pt idx="0">
                  <c:v>38332</c:v>
                </c:pt>
                <c:pt idx="1">
                  <c:v>58149</c:v>
                </c:pt>
                <c:pt idx="2">
                  <c:v>53299</c:v>
                </c:pt>
                <c:pt idx="3">
                  <c:v>25410</c:v>
                </c:pt>
                <c:pt idx="4">
                  <c:v>32766</c:v>
                </c:pt>
              </c:numCache>
            </c:numRef>
          </c:val>
          <c:extLst>
            <c:ext xmlns:c16="http://schemas.microsoft.com/office/drawing/2014/chart" uri="{C3380CC4-5D6E-409C-BE32-E72D297353CC}">
              <c16:uniqueId val="{00000001-5208-4CF5-A40D-750285E007EB}"/>
            </c:ext>
          </c:extLst>
        </c:ser>
        <c:dLbls>
          <c:showLegendKey val="0"/>
          <c:showVal val="0"/>
          <c:showCatName val="0"/>
          <c:showSerName val="0"/>
          <c:showPercent val="0"/>
          <c:showBubbleSize val="0"/>
        </c:dLbls>
        <c:gapWidth val="219"/>
        <c:overlap val="-27"/>
        <c:axId val="37194160"/>
        <c:axId val="37188400"/>
      </c:barChart>
      <c:lineChart>
        <c:grouping val="standard"/>
        <c:varyColors val="0"/>
        <c:ser>
          <c:idx val="2"/>
          <c:order val="2"/>
          <c:tx>
            <c:strRef>
              <c:f>Sales_Data!$Y$4</c:f>
              <c:strCache>
                <c:ptCount val="1"/>
                <c:pt idx="0">
                  <c:v>profit margin</c:v>
                </c:pt>
              </c:strCache>
            </c:strRef>
          </c:tx>
          <c:spPr>
            <a:ln w="28575" cap="rnd">
              <a:solidFill>
                <a:srgbClr val="00B050"/>
              </a:solidFill>
              <a:round/>
            </a:ln>
            <a:effectLst/>
          </c:spPr>
          <c:marker>
            <c:symbol val="none"/>
          </c:marker>
          <c:cat>
            <c:strRef>
              <c:f>Sales_Data!$V$5:$V$10</c:f>
              <c:strCache>
                <c:ptCount val="5"/>
                <c:pt idx="0">
                  <c:v>Bars</c:v>
                </c:pt>
                <c:pt idx="1">
                  <c:v>Cookies</c:v>
                </c:pt>
                <c:pt idx="2">
                  <c:v>Festive</c:v>
                </c:pt>
                <c:pt idx="3">
                  <c:v>Premium</c:v>
                </c:pt>
                <c:pt idx="4">
                  <c:v>Snacks</c:v>
                </c:pt>
              </c:strCache>
            </c:strRef>
          </c:cat>
          <c:val>
            <c:numRef>
              <c:f>Sales_Data!$Y$5:$Y$10</c:f>
              <c:numCache>
                <c:formatCode>0%</c:formatCode>
                <c:ptCount val="5"/>
                <c:pt idx="0">
                  <c:v>44.597418833241697</c:v>
                </c:pt>
                <c:pt idx="1">
                  <c:v>66.908831232682061</c:v>
                </c:pt>
                <c:pt idx="2">
                  <c:v>49.054798922352326</c:v>
                </c:pt>
                <c:pt idx="3">
                  <c:v>34.175013830996967</c:v>
                </c:pt>
                <c:pt idx="4">
                  <c:v>45.132236331026697</c:v>
                </c:pt>
              </c:numCache>
            </c:numRef>
          </c:val>
          <c:smooth val="0"/>
          <c:extLst>
            <c:ext xmlns:c16="http://schemas.microsoft.com/office/drawing/2014/chart" uri="{C3380CC4-5D6E-409C-BE32-E72D297353CC}">
              <c16:uniqueId val="{00000002-5208-4CF5-A40D-750285E007EB}"/>
            </c:ext>
          </c:extLst>
        </c:ser>
        <c:dLbls>
          <c:showLegendKey val="0"/>
          <c:showVal val="0"/>
          <c:showCatName val="0"/>
          <c:showSerName val="0"/>
          <c:showPercent val="0"/>
          <c:showBubbleSize val="0"/>
        </c:dLbls>
        <c:marker val="1"/>
        <c:smooth val="0"/>
        <c:axId val="37198000"/>
        <c:axId val="37186000"/>
      </c:lineChart>
      <c:catAx>
        <c:axId val="37194160"/>
        <c:scaling>
          <c:orientation val="minMax"/>
        </c:scaling>
        <c:delete val="0"/>
        <c:axPos val="b"/>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8400"/>
        <c:crosses val="autoZero"/>
        <c:auto val="1"/>
        <c:lblAlgn val="ctr"/>
        <c:lblOffset val="100"/>
        <c:noMultiLvlLbl val="0"/>
      </c:catAx>
      <c:valAx>
        <c:axId val="371884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solidFill>
              <a:srgbClr val="00B050">
                <a:alpha val="91000"/>
              </a:srgb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4160"/>
        <c:crosses val="autoZero"/>
        <c:crossBetween val="between"/>
      </c:valAx>
      <c:valAx>
        <c:axId val="371860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8000"/>
        <c:crosses val="max"/>
        <c:crossBetween val="between"/>
      </c:valAx>
      <c:catAx>
        <c:axId val="37198000"/>
        <c:scaling>
          <c:orientation val="minMax"/>
        </c:scaling>
        <c:delete val="1"/>
        <c:axPos val="b"/>
        <c:numFmt formatCode="General" sourceLinked="1"/>
        <c:majorTickMark val="out"/>
        <c:minorTickMark val="none"/>
        <c:tickLblPos val="nextTo"/>
        <c:crossAx val="371860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impact on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Sales_Data!$V$12</c:f>
              <c:strCache>
                <c:ptCount val="1"/>
                <c:pt idx="0">
                  <c:v>Sales</c:v>
                </c:pt>
              </c:strCache>
            </c:strRef>
          </c:tx>
          <c:spPr>
            <a:solidFill>
              <a:schemeClr val="accent1"/>
            </a:solidFill>
            <a:ln>
              <a:noFill/>
            </a:ln>
            <a:effectLst/>
          </c:spPr>
          <c:invertIfNegative val="0"/>
          <c:cat>
            <c:strRef>
              <c:f>Sales_Data!$U$13:$U$17</c:f>
              <c:strCache>
                <c:ptCount val="4"/>
                <c:pt idx="0">
                  <c:v>0</c:v>
                </c:pt>
                <c:pt idx="1">
                  <c:v>5</c:v>
                </c:pt>
                <c:pt idx="2">
                  <c:v>10</c:v>
                </c:pt>
                <c:pt idx="3">
                  <c:v>15</c:v>
                </c:pt>
              </c:strCache>
            </c:strRef>
          </c:cat>
          <c:val>
            <c:numRef>
              <c:f>Sales_Data!$V$13:$V$17</c:f>
              <c:numCache>
                <c:formatCode>General</c:formatCode>
                <c:ptCount val="4"/>
                <c:pt idx="0">
                  <c:v>136454</c:v>
                </c:pt>
                <c:pt idx="1">
                  <c:v>118280.69999999997</c:v>
                </c:pt>
                <c:pt idx="2">
                  <c:v>99186.300000000017</c:v>
                </c:pt>
                <c:pt idx="3">
                  <c:v>94451.15</c:v>
                </c:pt>
              </c:numCache>
            </c:numRef>
          </c:val>
          <c:extLst>
            <c:ext xmlns:c16="http://schemas.microsoft.com/office/drawing/2014/chart" uri="{C3380CC4-5D6E-409C-BE32-E72D297353CC}">
              <c16:uniqueId val="{00000000-E414-4486-82A1-9626C669DACF}"/>
            </c:ext>
          </c:extLst>
        </c:ser>
        <c:ser>
          <c:idx val="1"/>
          <c:order val="1"/>
          <c:tx>
            <c:strRef>
              <c:f>Sales_Data!$W$12</c:f>
              <c:strCache>
                <c:ptCount val="1"/>
                <c:pt idx="0">
                  <c:v> profit</c:v>
                </c:pt>
              </c:strCache>
            </c:strRef>
          </c:tx>
          <c:spPr>
            <a:solidFill>
              <a:srgbClr val="FFFF00"/>
            </a:solidFill>
            <a:ln>
              <a:noFill/>
            </a:ln>
            <a:effectLst/>
          </c:spPr>
          <c:invertIfNegative val="0"/>
          <c:cat>
            <c:strRef>
              <c:f>Sales_Data!$U$13:$U$17</c:f>
              <c:strCache>
                <c:ptCount val="4"/>
                <c:pt idx="0">
                  <c:v>0</c:v>
                </c:pt>
                <c:pt idx="1">
                  <c:v>5</c:v>
                </c:pt>
                <c:pt idx="2">
                  <c:v>10</c:v>
                </c:pt>
                <c:pt idx="3">
                  <c:v>15</c:v>
                </c:pt>
              </c:strCache>
            </c:strRef>
          </c:cat>
          <c:val>
            <c:numRef>
              <c:f>Sales_Data!$W$13:$W$17</c:f>
              <c:numCache>
                <c:formatCode>"₹"\ #,##0.00</c:formatCode>
                <c:ptCount val="4"/>
                <c:pt idx="0">
                  <c:v>58870</c:v>
                </c:pt>
                <c:pt idx="1">
                  <c:v>53029</c:v>
                </c:pt>
                <c:pt idx="2">
                  <c:v>48498</c:v>
                </c:pt>
                <c:pt idx="3">
                  <c:v>47559</c:v>
                </c:pt>
              </c:numCache>
            </c:numRef>
          </c:val>
          <c:extLst>
            <c:ext xmlns:c16="http://schemas.microsoft.com/office/drawing/2014/chart" uri="{C3380CC4-5D6E-409C-BE32-E72D297353CC}">
              <c16:uniqueId val="{00000001-E414-4486-82A1-9626C669DACF}"/>
            </c:ext>
          </c:extLst>
        </c:ser>
        <c:dLbls>
          <c:showLegendKey val="0"/>
          <c:showVal val="0"/>
          <c:showCatName val="0"/>
          <c:showSerName val="0"/>
          <c:showPercent val="0"/>
          <c:showBubbleSize val="0"/>
        </c:dLbls>
        <c:gapWidth val="219"/>
        <c:overlap val="-27"/>
        <c:axId val="37200880"/>
        <c:axId val="37185520"/>
      </c:barChart>
      <c:lineChart>
        <c:grouping val="standard"/>
        <c:varyColors val="0"/>
        <c:ser>
          <c:idx val="2"/>
          <c:order val="2"/>
          <c:tx>
            <c:strRef>
              <c:f>Sales_Data!$X$12</c:f>
              <c:strCache>
                <c:ptCount val="1"/>
                <c:pt idx="0">
                  <c:v>profit margin</c:v>
                </c:pt>
              </c:strCache>
            </c:strRef>
          </c:tx>
          <c:spPr>
            <a:ln w="28575" cap="rnd">
              <a:solidFill>
                <a:srgbClr val="00B050"/>
              </a:solidFill>
              <a:round/>
            </a:ln>
            <a:effectLst/>
          </c:spPr>
          <c:marker>
            <c:symbol val="none"/>
          </c:marker>
          <c:cat>
            <c:strRef>
              <c:f>Sales_Data!$U$13:$U$17</c:f>
              <c:strCache>
                <c:ptCount val="4"/>
                <c:pt idx="0">
                  <c:v>0</c:v>
                </c:pt>
                <c:pt idx="1">
                  <c:v>5</c:v>
                </c:pt>
                <c:pt idx="2">
                  <c:v>10</c:v>
                </c:pt>
                <c:pt idx="3">
                  <c:v>15</c:v>
                </c:pt>
              </c:strCache>
            </c:strRef>
          </c:cat>
          <c:val>
            <c:numRef>
              <c:f>Sales_Data!$X$13:$X$17</c:f>
              <c:numCache>
                <c:formatCode>0%</c:formatCode>
                <c:ptCount val="4"/>
                <c:pt idx="0">
                  <c:v>56.235858197302015</c:v>
                </c:pt>
                <c:pt idx="1">
                  <c:v>63.315565597087634</c:v>
                </c:pt>
                <c:pt idx="2">
                  <c:v>53.169602624031207</c:v>
                </c:pt>
                <c:pt idx="3">
                  <c:v>67.147272731878886</c:v>
                </c:pt>
              </c:numCache>
            </c:numRef>
          </c:val>
          <c:smooth val="0"/>
          <c:extLst>
            <c:ext xmlns:c16="http://schemas.microsoft.com/office/drawing/2014/chart" uri="{C3380CC4-5D6E-409C-BE32-E72D297353CC}">
              <c16:uniqueId val="{00000002-E414-4486-82A1-9626C669DACF}"/>
            </c:ext>
          </c:extLst>
        </c:ser>
        <c:dLbls>
          <c:showLegendKey val="0"/>
          <c:showVal val="0"/>
          <c:showCatName val="0"/>
          <c:showSerName val="0"/>
          <c:showPercent val="0"/>
          <c:showBubbleSize val="0"/>
        </c:dLbls>
        <c:marker val="1"/>
        <c:smooth val="0"/>
        <c:axId val="37212400"/>
        <c:axId val="37211920"/>
      </c:lineChart>
      <c:catAx>
        <c:axId val="3720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5520"/>
        <c:crosses val="autoZero"/>
        <c:auto val="1"/>
        <c:lblAlgn val="ctr"/>
        <c:lblOffset val="100"/>
        <c:noMultiLvlLbl val="0"/>
      </c:catAx>
      <c:valAx>
        <c:axId val="3718552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0880"/>
        <c:crosses val="autoZero"/>
        <c:crossBetween val="between"/>
      </c:valAx>
      <c:valAx>
        <c:axId val="372119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2400"/>
        <c:crosses val="max"/>
        <c:crossBetween val="between"/>
      </c:valAx>
      <c:catAx>
        <c:axId val="37212400"/>
        <c:scaling>
          <c:orientation val="minMax"/>
        </c:scaling>
        <c:delete val="1"/>
        <c:axPos val="b"/>
        <c:numFmt formatCode="General" sourceLinked="1"/>
        <c:majorTickMark val="out"/>
        <c:minorTickMark val="none"/>
        <c:tickLblPos val="nextTo"/>
        <c:crossAx val="372119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Sales_Data!$AC$4</c:f>
              <c:strCache>
                <c:ptCount val="1"/>
                <c:pt idx="0">
                  <c:v>profit</c:v>
                </c:pt>
              </c:strCache>
            </c:strRef>
          </c:tx>
          <c:spPr>
            <a:solidFill>
              <a:srgbClr val="FFFF00"/>
            </a:solidFill>
            <a:ln>
              <a:noFill/>
            </a:ln>
            <a:effectLst/>
          </c:spPr>
          <c:invertIfNegative val="0"/>
          <c:cat>
            <c:strRef>
              <c:f>Sales_Data!$AA$5:$AA$15</c:f>
              <c:strCache>
                <c:ptCount val="10"/>
                <c:pt idx="0">
                  <c:v>Classic Dark Chocolate</c:v>
                </c:pt>
                <c:pt idx="1">
                  <c:v>Pistachio Fusion Chocolate</c:v>
                </c:pt>
                <c:pt idx="2">
                  <c:v>Royal Dryfruit Mix</c:v>
                </c:pt>
                <c:pt idx="3">
                  <c:v>Dry Fruit Special Chocolate</c:v>
                </c:pt>
                <c:pt idx="4">
                  <c:v>Festive Chocolate Pack</c:v>
                </c:pt>
                <c:pt idx="5">
                  <c:v>Velvet Truffle Bites</c:v>
                </c:pt>
                <c:pt idx="6">
                  <c:v>Berry Blast Chocolate</c:v>
                </c:pt>
                <c:pt idx="7">
                  <c:v>Premium Cocoa Slabs</c:v>
                </c:pt>
                <c:pt idx="8">
                  <c:v>Luxury Praline Box</c:v>
                </c:pt>
                <c:pt idx="9">
                  <c:v>Fruit &amp; Nut Chocolate</c:v>
                </c:pt>
              </c:strCache>
            </c:strRef>
          </c:cat>
          <c:val>
            <c:numRef>
              <c:f>Sales_Data!$AC$5:$AC$15</c:f>
              <c:numCache>
                <c:formatCode>"₹"\ #,##0.00</c:formatCode>
                <c:ptCount val="10"/>
                <c:pt idx="0">
                  <c:v>7560</c:v>
                </c:pt>
                <c:pt idx="1">
                  <c:v>4914</c:v>
                </c:pt>
                <c:pt idx="2">
                  <c:v>10160</c:v>
                </c:pt>
                <c:pt idx="3">
                  <c:v>7656</c:v>
                </c:pt>
                <c:pt idx="4">
                  <c:v>10496</c:v>
                </c:pt>
                <c:pt idx="5">
                  <c:v>8928</c:v>
                </c:pt>
                <c:pt idx="6">
                  <c:v>6380</c:v>
                </c:pt>
                <c:pt idx="7">
                  <c:v>6407</c:v>
                </c:pt>
                <c:pt idx="8">
                  <c:v>7497</c:v>
                </c:pt>
                <c:pt idx="9">
                  <c:v>9639</c:v>
                </c:pt>
              </c:numCache>
            </c:numRef>
          </c:val>
          <c:extLst>
            <c:ext xmlns:c16="http://schemas.microsoft.com/office/drawing/2014/chart" uri="{C3380CC4-5D6E-409C-BE32-E72D297353CC}">
              <c16:uniqueId val="{00000000-E719-4FC0-8F24-3EE9E977C432}"/>
            </c:ext>
          </c:extLst>
        </c:ser>
        <c:ser>
          <c:idx val="0"/>
          <c:order val="0"/>
          <c:tx>
            <c:strRef>
              <c:f>Sales_Data!$AB$4</c:f>
              <c:strCache>
                <c:ptCount val="1"/>
                <c:pt idx="0">
                  <c:v>Sales</c:v>
                </c:pt>
              </c:strCache>
            </c:strRef>
          </c:tx>
          <c:spPr>
            <a:solidFill>
              <a:schemeClr val="accent1"/>
            </a:solidFill>
            <a:ln>
              <a:noFill/>
            </a:ln>
            <a:effectLst/>
          </c:spPr>
          <c:invertIfNegative val="0"/>
          <c:cat>
            <c:strRef>
              <c:f>Sales_Data!$AA$5:$AA$15</c:f>
              <c:strCache>
                <c:ptCount val="10"/>
                <c:pt idx="0">
                  <c:v>Classic Dark Chocolate</c:v>
                </c:pt>
                <c:pt idx="1">
                  <c:v>Pistachio Fusion Chocolate</c:v>
                </c:pt>
                <c:pt idx="2">
                  <c:v>Royal Dryfruit Mix</c:v>
                </c:pt>
                <c:pt idx="3">
                  <c:v>Dry Fruit Special Chocolate</c:v>
                </c:pt>
                <c:pt idx="4">
                  <c:v>Festive Chocolate Pack</c:v>
                </c:pt>
                <c:pt idx="5">
                  <c:v>Velvet Truffle Bites</c:v>
                </c:pt>
                <c:pt idx="6">
                  <c:v>Berry Blast Chocolate</c:v>
                </c:pt>
                <c:pt idx="7">
                  <c:v>Premium Cocoa Slabs</c:v>
                </c:pt>
                <c:pt idx="8">
                  <c:v>Luxury Praline Box</c:v>
                </c:pt>
                <c:pt idx="9">
                  <c:v>Fruit &amp; Nut Chocolate</c:v>
                </c:pt>
              </c:strCache>
            </c:strRef>
          </c:cat>
          <c:val>
            <c:numRef>
              <c:f>Sales_Data!$AB$5:$AB$15</c:f>
              <c:numCache>
                <c:formatCode>General</c:formatCode>
                <c:ptCount val="10"/>
                <c:pt idx="0">
                  <c:v>14052.900000000001</c:v>
                </c:pt>
                <c:pt idx="1">
                  <c:v>15429.7</c:v>
                </c:pt>
                <c:pt idx="2">
                  <c:v>15889.5</c:v>
                </c:pt>
                <c:pt idx="3">
                  <c:v>16920</c:v>
                </c:pt>
                <c:pt idx="4">
                  <c:v>17262.25</c:v>
                </c:pt>
                <c:pt idx="5">
                  <c:v>17760.750000000004</c:v>
                </c:pt>
                <c:pt idx="6">
                  <c:v>18505.199999999997</c:v>
                </c:pt>
                <c:pt idx="7">
                  <c:v>19210.5</c:v>
                </c:pt>
                <c:pt idx="8">
                  <c:v>20000.5</c:v>
                </c:pt>
                <c:pt idx="9">
                  <c:v>22253.400000000005</c:v>
                </c:pt>
              </c:numCache>
            </c:numRef>
          </c:val>
          <c:extLst>
            <c:ext xmlns:c16="http://schemas.microsoft.com/office/drawing/2014/chart" uri="{C3380CC4-5D6E-409C-BE32-E72D297353CC}">
              <c16:uniqueId val="{00000001-E719-4FC0-8F24-3EE9E977C432}"/>
            </c:ext>
          </c:extLst>
        </c:ser>
        <c:dLbls>
          <c:showLegendKey val="0"/>
          <c:showVal val="0"/>
          <c:showCatName val="0"/>
          <c:showSerName val="0"/>
          <c:showPercent val="0"/>
          <c:showBubbleSize val="0"/>
        </c:dLbls>
        <c:gapWidth val="219"/>
        <c:axId val="2023970736"/>
        <c:axId val="2023974096"/>
      </c:barChart>
      <c:catAx>
        <c:axId val="202397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74096"/>
        <c:crosses val="autoZero"/>
        <c:auto val="1"/>
        <c:lblAlgn val="ctr"/>
        <c:lblOffset val="100"/>
        <c:noMultiLvlLbl val="0"/>
      </c:catAx>
      <c:valAx>
        <c:axId val="2023974096"/>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2023970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dashboard.xlsx]Inventory!PivotTable16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a:t>
            </a:r>
            <a:r>
              <a:rPr lang="en-IN" baseline="0"/>
              <a:t> Health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rgbClr val="00B050"/>
          </a:solidFill>
          <a:ln w="19050">
            <a:solidFill>
              <a:schemeClr val="lt1"/>
            </a:solidFill>
          </a:ln>
          <a:effectLst/>
        </c:spPr>
      </c:pivotFmt>
    </c:pivotFmts>
    <c:plotArea>
      <c:layout/>
      <c:doughnutChart>
        <c:varyColors val="1"/>
        <c:ser>
          <c:idx val="0"/>
          <c:order val="0"/>
          <c:tx>
            <c:strRef>
              <c:f>Inventory!$R$12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70-4AEC-9874-2F40C95B84F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B170-4AEC-9874-2F40C95B84F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B170-4AEC-9874-2F40C95B84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Inventory!$Q$13:$Q$16</c:f>
              <c:strCache>
                <c:ptCount val="3"/>
                <c:pt idx="0">
                  <c:v>Healthy Stock</c:v>
                </c:pt>
                <c:pt idx="1">
                  <c:v>Low Stock</c:v>
                </c:pt>
                <c:pt idx="2">
                  <c:v>Medium Stock</c:v>
                </c:pt>
              </c:strCache>
            </c:strRef>
          </c:cat>
          <c:val>
            <c:numRef>
              <c:f>Inventory!$R$13:$R$16</c:f>
              <c:numCache>
                <c:formatCode>General</c:formatCode>
                <c:ptCount val="3"/>
                <c:pt idx="0">
                  <c:v>101</c:v>
                </c:pt>
                <c:pt idx="1">
                  <c:v>46</c:v>
                </c:pt>
                <c:pt idx="2">
                  <c:v>53</c:v>
                </c:pt>
              </c:numCache>
            </c:numRef>
          </c:val>
          <c:extLst>
            <c:ext xmlns:c16="http://schemas.microsoft.com/office/drawing/2014/chart" uri="{C3380CC4-5D6E-409C-BE32-E72D297353CC}">
              <c16:uniqueId val="{00000006-B170-4AEC-9874-2F40C95B84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dashboard.xlsx]Sales_Data!PivotTable9</c:name>
    <c:fmtId val="4"/>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Sales_Data!$V$19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Sales_Data!$U$20:$U$25</c:f>
              <c:strCache>
                <c:ptCount val="5"/>
                <c:pt idx="0">
                  <c:v>Silk Ganache Cubes</c:v>
                </c:pt>
                <c:pt idx="1">
                  <c:v>Cashew Delight Bites</c:v>
                </c:pt>
                <c:pt idx="2">
                  <c:v>Choco Crunch Cone</c:v>
                </c:pt>
                <c:pt idx="3">
                  <c:v>Premium Cocoa Slabs</c:v>
                </c:pt>
                <c:pt idx="4">
                  <c:v>Fruit &amp; Nut Chocolate</c:v>
                </c:pt>
              </c:strCache>
            </c:strRef>
          </c:cat>
          <c:val>
            <c:numRef>
              <c:f>Sales_Data!$V$20:$V$25</c:f>
              <c:numCache>
                <c:formatCode>0.00</c:formatCode>
                <c:ptCount val="5"/>
                <c:pt idx="0">
                  <c:v>2.2982456140350873</c:v>
                </c:pt>
                <c:pt idx="1">
                  <c:v>2.5789473684210522</c:v>
                </c:pt>
                <c:pt idx="2">
                  <c:v>2.5789473684210527</c:v>
                </c:pt>
                <c:pt idx="3">
                  <c:v>2.6140350877192979</c:v>
                </c:pt>
                <c:pt idx="4">
                  <c:v>2.6842105263157894</c:v>
                </c:pt>
              </c:numCache>
            </c:numRef>
          </c:val>
          <c:extLst>
            <c:ext xmlns:c16="http://schemas.microsoft.com/office/drawing/2014/chart" uri="{C3380CC4-5D6E-409C-BE32-E72D297353CC}">
              <c16:uniqueId val="{00000000-94FE-4A84-8598-A6E7B66E1025}"/>
            </c:ext>
          </c:extLst>
        </c:ser>
        <c:dLbls>
          <c:dLblPos val="outEnd"/>
          <c:showLegendKey val="0"/>
          <c:showVal val="1"/>
          <c:showCatName val="0"/>
          <c:showSerName val="0"/>
          <c:showPercent val="0"/>
          <c:showBubbleSize val="0"/>
        </c:dLbls>
        <c:gapWidth val="182"/>
        <c:axId val="837594479"/>
        <c:axId val="837578159"/>
      </c:barChart>
      <c:catAx>
        <c:axId val="8375944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78159"/>
        <c:crosses val="autoZero"/>
        <c:auto val="1"/>
        <c:lblAlgn val="ctr"/>
        <c:lblOffset val="100"/>
        <c:noMultiLvlLbl val="0"/>
      </c:catAx>
      <c:valAx>
        <c:axId val="837578159"/>
        <c:scaling>
          <c:orientation val="minMax"/>
        </c:scaling>
        <c:delete val="1"/>
        <c:axPos val="b"/>
        <c:numFmt formatCode="0.00" sourceLinked="1"/>
        <c:majorTickMark val="none"/>
        <c:minorTickMark val="none"/>
        <c:tickLblPos val="nextTo"/>
        <c:crossAx val="8375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dashboard.xlsx]Sales_Data!PivotTable11</c:name>
    <c:fmtId val="3"/>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Sales_Data!$Y$19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Sales_Data!$X$20:$X$25</c:f>
              <c:strCache>
                <c:ptCount val="5"/>
                <c:pt idx="0">
                  <c:v>Honey Almond Chocolate</c:v>
                </c:pt>
                <c:pt idx="1">
                  <c:v>Butterscotch Crunch Bar</c:v>
                </c:pt>
                <c:pt idx="2">
                  <c:v>Love Loaded Chocolate Bar</c:v>
                </c:pt>
                <c:pt idx="3">
                  <c:v>Choco Pie Popstick</c:v>
                </c:pt>
                <c:pt idx="4">
                  <c:v>Choco Dip Cookie</c:v>
                </c:pt>
              </c:strCache>
            </c:strRef>
          </c:cat>
          <c:val>
            <c:numRef>
              <c:f>Sales_Data!$Y$20:$Y$25</c:f>
              <c:numCache>
                <c:formatCode>0.00</c:formatCode>
                <c:ptCount val="5"/>
                <c:pt idx="0">
                  <c:v>1.1578947368421051</c:v>
                </c:pt>
                <c:pt idx="1">
                  <c:v>1.1403508771929824</c:v>
                </c:pt>
                <c:pt idx="2">
                  <c:v>1.070175438596491</c:v>
                </c:pt>
                <c:pt idx="3">
                  <c:v>1.0350877192982455</c:v>
                </c:pt>
                <c:pt idx="4">
                  <c:v>0.73684210526315785</c:v>
                </c:pt>
              </c:numCache>
            </c:numRef>
          </c:val>
          <c:extLst>
            <c:ext xmlns:c16="http://schemas.microsoft.com/office/drawing/2014/chart" uri="{C3380CC4-5D6E-409C-BE32-E72D297353CC}">
              <c16:uniqueId val="{00000000-D739-4A42-8AF8-D02407FDCE39}"/>
            </c:ext>
          </c:extLst>
        </c:ser>
        <c:dLbls>
          <c:showLegendKey val="0"/>
          <c:showVal val="0"/>
          <c:showCatName val="0"/>
          <c:showSerName val="0"/>
          <c:showPercent val="0"/>
          <c:showBubbleSize val="0"/>
        </c:dLbls>
        <c:gapWidth val="182"/>
        <c:axId val="837585359"/>
        <c:axId val="837591599"/>
      </c:barChart>
      <c:catAx>
        <c:axId val="83758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91599"/>
        <c:crosses val="autoZero"/>
        <c:auto val="1"/>
        <c:lblAlgn val="ctr"/>
        <c:lblOffset val="100"/>
        <c:noMultiLvlLbl val="0"/>
      </c:catAx>
      <c:valAx>
        <c:axId val="837591599"/>
        <c:scaling>
          <c:orientation val="minMax"/>
        </c:scaling>
        <c:delete val="1"/>
        <c:axPos val="b"/>
        <c:numFmt formatCode="0.00" sourceLinked="1"/>
        <c:majorTickMark val="none"/>
        <c:minorTickMark val="none"/>
        <c:tickLblPos val="nextTo"/>
        <c:crossAx val="83758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dashboard.xlsx]Sales_Data!PivotTable16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 by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04094684341606E-2"/>
          <c:y val="0.31037534968528324"/>
          <c:w val="0.91819181063131683"/>
          <c:h val="0.5363157533220102"/>
        </c:manualLayout>
      </c:layout>
      <c:barChart>
        <c:barDir val="col"/>
        <c:grouping val="clustered"/>
        <c:varyColors val="0"/>
        <c:ser>
          <c:idx val="0"/>
          <c:order val="0"/>
          <c:tx>
            <c:strRef>
              <c:f>Sales_Data!$AB$18</c:f>
              <c:strCache>
                <c:ptCount val="1"/>
                <c:pt idx="0">
                  <c:v>Sales</c:v>
                </c:pt>
              </c:strCache>
            </c:strRef>
          </c:tx>
          <c:spPr>
            <a:solidFill>
              <a:schemeClr val="accent1"/>
            </a:solidFill>
            <a:ln>
              <a:noFill/>
            </a:ln>
            <a:effectLst/>
          </c:spPr>
          <c:invertIfNegative val="0"/>
          <c:cat>
            <c:strRef>
              <c:f>Sales_Data!$AA$19:$AA$29</c:f>
              <c:strCache>
                <c:ptCount val="10"/>
                <c:pt idx="0">
                  <c:v>Anjali</c:v>
                </c:pt>
                <c:pt idx="1">
                  <c:v>Pooja</c:v>
                </c:pt>
                <c:pt idx="2">
                  <c:v>Arjun</c:v>
                </c:pt>
                <c:pt idx="3">
                  <c:v>Vikas</c:v>
                </c:pt>
                <c:pt idx="4">
                  <c:v>Priya</c:v>
                </c:pt>
                <c:pt idx="5">
                  <c:v>Neha</c:v>
                </c:pt>
                <c:pt idx="6">
                  <c:v>Meera</c:v>
                </c:pt>
                <c:pt idx="7">
                  <c:v>Sneha</c:v>
                </c:pt>
                <c:pt idx="8">
                  <c:v>Rohan</c:v>
                </c:pt>
                <c:pt idx="9">
                  <c:v>Rahul</c:v>
                </c:pt>
              </c:strCache>
            </c:strRef>
          </c:cat>
          <c:val>
            <c:numRef>
              <c:f>Sales_Data!$AB$19:$AB$29</c:f>
              <c:numCache>
                <c:formatCode>"₹"\ #,##0</c:formatCode>
                <c:ptCount val="10"/>
                <c:pt idx="0">
                  <c:v>53665.749999999993</c:v>
                </c:pt>
                <c:pt idx="1">
                  <c:v>44119.749999999993</c:v>
                </c:pt>
                <c:pt idx="2">
                  <c:v>40442.900000000009</c:v>
                </c:pt>
                <c:pt idx="3">
                  <c:v>40351.950000000004</c:v>
                </c:pt>
                <c:pt idx="4">
                  <c:v>37369.950000000012</c:v>
                </c:pt>
                <c:pt idx="5">
                  <c:v>36876.350000000006</c:v>
                </c:pt>
                <c:pt idx="6">
                  <c:v>36205.950000000004</c:v>
                </c:pt>
                <c:pt idx="7">
                  <c:v>35636.000000000007</c:v>
                </c:pt>
                <c:pt idx="8">
                  <c:v>33594.949999999997</c:v>
                </c:pt>
                <c:pt idx="9">
                  <c:v>33123.850000000006</c:v>
                </c:pt>
              </c:numCache>
            </c:numRef>
          </c:val>
          <c:extLst>
            <c:ext xmlns:c16="http://schemas.microsoft.com/office/drawing/2014/chart" uri="{C3380CC4-5D6E-409C-BE32-E72D297353CC}">
              <c16:uniqueId val="{00000000-2628-4A2A-817B-986B69EB9FEE}"/>
            </c:ext>
          </c:extLst>
        </c:ser>
        <c:ser>
          <c:idx val="1"/>
          <c:order val="1"/>
          <c:tx>
            <c:strRef>
              <c:f>Sales_Data!$AC$18</c:f>
              <c:strCache>
                <c:ptCount val="1"/>
                <c:pt idx="0">
                  <c:v> profit</c:v>
                </c:pt>
              </c:strCache>
            </c:strRef>
          </c:tx>
          <c:spPr>
            <a:solidFill>
              <a:schemeClr val="accent2"/>
            </a:solidFill>
            <a:ln>
              <a:solidFill>
                <a:srgbClr val="FFFF00"/>
              </a:solidFill>
            </a:ln>
            <a:effectLst/>
          </c:spPr>
          <c:invertIfNegative val="0"/>
          <c:cat>
            <c:strRef>
              <c:f>Sales_Data!$AA$19:$AA$29</c:f>
              <c:strCache>
                <c:ptCount val="10"/>
                <c:pt idx="0">
                  <c:v>Anjali</c:v>
                </c:pt>
                <c:pt idx="1">
                  <c:v>Pooja</c:v>
                </c:pt>
                <c:pt idx="2">
                  <c:v>Arjun</c:v>
                </c:pt>
                <c:pt idx="3">
                  <c:v>Vikas</c:v>
                </c:pt>
                <c:pt idx="4">
                  <c:v>Priya</c:v>
                </c:pt>
                <c:pt idx="5">
                  <c:v>Neha</c:v>
                </c:pt>
                <c:pt idx="6">
                  <c:v>Meera</c:v>
                </c:pt>
                <c:pt idx="7">
                  <c:v>Sneha</c:v>
                </c:pt>
                <c:pt idx="8">
                  <c:v>Rohan</c:v>
                </c:pt>
                <c:pt idx="9">
                  <c:v>Rahul</c:v>
                </c:pt>
              </c:strCache>
            </c:strRef>
          </c:cat>
          <c:val>
            <c:numRef>
              <c:f>Sales_Data!$AC$19:$AC$29</c:f>
              <c:numCache>
                <c:formatCode>"₹"\ #,##0</c:formatCode>
                <c:ptCount val="10"/>
                <c:pt idx="0">
                  <c:v>24972</c:v>
                </c:pt>
                <c:pt idx="1">
                  <c:v>19332</c:v>
                </c:pt>
                <c:pt idx="2">
                  <c:v>19651</c:v>
                </c:pt>
                <c:pt idx="3">
                  <c:v>18321</c:v>
                </c:pt>
                <c:pt idx="4">
                  <c:v>17159</c:v>
                </c:pt>
                <c:pt idx="5">
                  <c:v>17444</c:v>
                </c:pt>
                <c:pt idx="6">
                  <c:v>15802</c:v>
                </c:pt>
                <c:pt idx="7">
                  <c:v>16179</c:v>
                </c:pt>
                <c:pt idx="8">
                  <c:v>16137</c:v>
                </c:pt>
                <c:pt idx="9">
                  <c:v>15429</c:v>
                </c:pt>
              </c:numCache>
            </c:numRef>
          </c:val>
          <c:extLst>
            <c:ext xmlns:c16="http://schemas.microsoft.com/office/drawing/2014/chart" uri="{C3380CC4-5D6E-409C-BE32-E72D297353CC}">
              <c16:uniqueId val="{00000001-2628-4A2A-817B-986B69EB9FEE}"/>
            </c:ext>
          </c:extLst>
        </c:ser>
        <c:dLbls>
          <c:showLegendKey val="0"/>
          <c:showVal val="0"/>
          <c:showCatName val="0"/>
          <c:showSerName val="0"/>
          <c:showPercent val="0"/>
          <c:showBubbleSize val="0"/>
        </c:dLbls>
        <c:gapWidth val="219"/>
        <c:overlap val="-27"/>
        <c:axId val="837602159"/>
        <c:axId val="837603599"/>
      </c:barChart>
      <c:catAx>
        <c:axId val="83760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03599"/>
        <c:crosses val="autoZero"/>
        <c:auto val="1"/>
        <c:lblAlgn val="ctr"/>
        <c:lblOffset val="100"/>
        <c:noMultiLvlLbl val="0"/>
      </c:catAx>
      <c:valAx>
        <c:axId val="83760359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837602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dashboard.xlsx]Product_Master!PivotTable21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Product_Master!$H$2</c:f>
              <c:strCache>
                <c:ptCount val="1"/>
                <c:pt idx="0">
                  <c:v>cost price</c:v>
                </c:pt>
              </c:strCache>
            </c:strRef>
          </c:tx>
          <c:spPr>
            <a:solidFill>
              <a:schemeClr val="accent1"/>
            </a:solidFill>
            <a:ln>
              <a:noFill/>
            </a:ln>
            <a:effectLst/>
          </c:spPr>
          <c:invertIfNegative val="0"/>
          <c:cat>
            <c:strRef>
              <c:f>Product_Master!$G$3:$G$43</c:f>
              <c:strCache>
                <c:ptCount val="40"/>
                <c:pt idx="0">
                  <c:v>Almond Crunch Bar</c:v>
                </c:pt>
                <c:pt idx="1">
                  <c:v>Berry Blast Chocolate</c:v>
                </c:pt>
                <c:pt idx="2">
                  <c:v>Butterscotch Crunch Bar</c:v>
                </c:pt>
                <c:pt idx="3">
                  <c:v>Caramel Crunch Cubes</c:v>
                </c:pt>
                <c:pt idx="4">
                  <c:v>Cashew Delight Bites</c:v>
                </c:pt>
                <c:pt idx="5">
                  <c:v>Choco Aura Custom Bar</c:v>
                </c:pt>
                <c:pt idx="6">
                  <c:v>Choco Biscuit Pops</c:v>
                </c:pt>
                <c:pt idx="7">
                  <c:v>Choco Crunch Cone</c:v>
                </c:pt>
                <c:pt idx="8">
                  <c:v>Choco Dip Cookie</c:v>
                </c:pt>
                <c:pt idx="9">
                  <c:v>Choco Fudge Squares</c:v>
                </c:pt>
                <c:pt idx="10">
                  <c:v>Choco Lava Bites</c:v>
                </c:pt>
                <c:pt idx="11">
                  <c:v>Choco Pie Popstick</c:v>
                </c:pt>
                <c:pt idx="12">
                  <c:v>Classic Dark Chocolate</c:v>
                </c:pt>
                <c:pt idx="13">
                  <c:v>Coconut Delight Bar</c:v>
                </c:pt>
                <c:pt idx="14">
                  <c:v>Coffee Mocha Bites</c:v>
                </c:pt>
                <c:pt idx="15">
                  <c:v>Crunchy Wafer Chocolate</c:v>
                </c:pt>
                <c:pt idx="16">
                  <c:v>Dark Fantasy Squares</c:v>
                </c:pt>
                <c:pt idx="17">
                  <c:v>Dry Fruit Special Chocolate</c:v>
                </c:pt>
                <c:pt idx="18">
                  <c:v>Duo Choco Bites</c:v>
                </c:pt>
                <c:pt idx="19">
                  <c:v>Festive Chocolate Pack</c:v>
                </c:pt>
                <c:pt idx="20">
                  <c:v>Fruit &amp; Nut Chocolate</c:v>
                </c:pt>
                <c:pt idx="21">
                  <c:v>Golden Caramel Bites</c:v>
                </c:pt>
                <c:pt idx="22">
                  <c:v>Hazelnut Praline Chocolate</c:v>
                </c:pt>
                <c:pt idx="23">
                  <c:v>Honey Almond Chocolate</c:v>
                </c:pt>
                <c:pt idx="24">
                  <c:v>Kesar Milk Chocolate</c:v>
                </c:pt>
                <c:pt idx="25">
                  <c:v>Kunafa Bites</c:v>
                </c:pt>
                <c:pt idx="26">
                  <c:v>Love Loaded Chocolate Bar</c:v>
                </c:pt>
                <c:pt idx="27">
                  <c:v>Luxury Praline Box</c:v>
                </c:pt>
                <c:pt idx="28">
                  <c:v>Milk Chocolate Coins</c:v>
                </c:pt>
                <c:pt idx="29">
                  <c:v>Mint Choco Squares</c:v>
                </c:pt>
                <c:pt idx="30">
                  <c:v>Nutella Filled Bites</c:v>
                </c:pt>
                <c:pt idx="31">
                  <c:v>Orange Zest Chocolate</c:v>
                </c:pt>
                <c:pt idx="32">
                  <c:v>Pistachio Fusion Chocolate</c:v>
                </c:pt>
                <c:pt idx="33">
                  <c:v>Premium Cocoa Slabs</c:v>
                </c:pt>
                <c:pt idx="34">
                  <c:v>Rose Pista Chocolate</c:v>
                </c:pt>
                <c:pt idx="35">
                  <c:v>Royal Dryfruit Mix</c:v>
                </c:pt>
                <c:pt idx="36">
                  <c:v>Signature Cocoa Bars</c:v>
                </c:pt>
                <c:pt idx="37">
                  <c:v>Silk Ganache Cubes</c:v>
                </c:pt>
                <c:pt idx="38">
                  <c:v>Velvet Truffle Bites</c:v>
                </c:pt>
                <c:pt idx="39">
                  <c:v>White Chocolate Truffle</c:v>
                </c:pt>
              </c:strCache>
            </c:strRef>
          </c:cat>
          <c:val>
            <c:numRef>
              <c:f>Product_Master!$H$3:$H$43</c:f>
              <c:numCache>
                <c:formatCode>General</c:formatCode>
                <c:ptCount val="40"/>
                <c:pt idx="0">
                  <c:v>59</c:v>
                </c:pt>
                <c:pt idx="1">
                  <c:v>113</c:v>
                </c:pt>
                <c:pt idx="2">
                  <c:v>54</c:v>
                </c:pt>
                <c:pt idx="3">
                  <c:v>63</c:v>
                </c:pt>
                <c:pt idx="4">
                  <c:v>76</c:v>
                </c:pt>
                <c:pt idx="5">
                  <c:v>75</c:v>
                </c:pt>
                <c:pt idx="6">
                  <c:v>63</c:v>
                </c:pt>
                <c:pt idx="7">
                  <c:v>66</c:v>
                </c:pt>
                <c:pt idx="8">
                  <c:v>40</c:v>
                </c:pt>
                <c:pt idx="9">
                  <c:v>85</c:v>
                </c:pt>
                <c:pt idx="10">
                  <c:v>78</c:v>
                </c:pt>
                <c:pt idx="11">
                  <c:v>46</c:v>
                </c:pt>
                <c:pt idx="12">
                  <c:v>69</c:v>
                </c:pt>
                <c:pt idx="13">
                  <c:v>11</c:v>
                </c:pt>
                <c:pt idx="14">
                  <c:v>10</c:v>
                </c:pt>
                <c:pt idx="15">
                  <c:v>88</c:v>
                </c:pt>
                <c:pt idx="16">
                  <c:v>20</c:v>
                </c:pt>
                <c:pt idx="17">
                  <c:v>94</c:v>
                </c:pt>
                <c:pt idx="18">
                  <c:v>75</c:v>
                </c:pt>
                <c:pt idx="19">
                  <c:v>63</c:v>
                </c:pt>
                <c:pt idx="20">
                  <c:v>93</c:v>
                </c:pt>
                <c:pt idx="21">
                  <c:v>105</c:v>
                </c:pt>
                <c:pt idx="22">
                  <c:v>46</c:v>
                </c:pt>
                <c:pt idx="23">
                  <c:v>72</c:v>
                </c:pt>
                <c:pt idx="24">
                  <c:v>98</c:v>
                </c:pt>
                <c:pt idx="25">
                  <c:v>96</c:v>
                </c:pt>
                <c:pt idx="26">
                  <c:v>42</c:v>
                </c:pt>
                <c:pt idx="27">
                  <c:v>118</c:v>
                </c:pt>
                <c:pt idx="28">
                  <c:v>13</c:v>
                </c:pt>
                <c:pt idx="29">
                  <c:v>61</c:v>
                </c:pt>
                <c:pt idx="30">
                  <c:v>24</c:v>
                </c:pt>
                <c:pt idx="31">
                  <c:v>43</c:v>
                </c:pt>
                <c:pt idx="32">
                  <c:v>101</c:v>
                </c:pt>
                <c:pt idx="33">
                  <c:v>92</c:v>
                </c:pt>
                <c:pt idx="34">
                  <c:v>72</c:v>
                </c:pt>
                <c:pt idx="35">
                  <c:v>55</c:v>
                </c:pt>
                <c:pt idx="36">
                  <c:v>96</c:v>
                </c:pt>
                <c:pt idx="37">
                  <c:v>42</c:v>
                </c:pt>
                <c:pt idx="38">
                  <c:v>106</c:v>
                </c:pt>
                <c:pt idx="39">
                  <c:v>21</c:v>
                </c:pt>
              </c:numCache>
            </c:numRef>
          </c:val>
          <c:extLst>
            <c:ext xmlns:c16="http://schemas.microsoft.com/office/drawing/2014/chart" uri="{C3380CC4-5D6E-409C-BE32-E72D297353CC}">
              <c16:uniqueId val="{00000000-F2D0-4AE7-8C96-A8B5354E329E}"/>
            </c:ext>
          </c:extLst>
        </c:ser>
        <c:dLbls>
          <c:showLegendKey val="0"/>
          <c:showVal val="0"/>
          <c:showCatName val="0"/>
          <c:showSerName val="0"/>
          <c:showPercent val="0"/>
          <c:showBubbleSize val="0"/>
        </c:dLbls>
        <c:gapWidth val="219"/>
        <c:axId val="715167183"/>
        <c:axId val="715175823"/>
      </c:barChart>
      <c:lineChart>
        <c:grouping val="standard"/>
        <c:varyColors val="0"/>
        <c:ser>
          <c:idx val="1"/>
          <c:order val="1"/>
          <c:tx>
            <c:strRef>
              <c:f>Product_Master!$I$2</c:f>
              <c:strCache>
                <c:ptCount val="1"/>
                <c:pt idx="0">
                  <c:v>Selling Price</c:v>
                </c:pt>
              </c:strCache>
            </c:strRef>
          </c:tx>
          <c:spPr>
            <a:ln w="28575" cap="rnd">
              <a:solidFill>
                <a:srgbClr val="FFFF00"/>
              </a:solidFill>
              <a:round/>
            </a:ln>
            <a:effectLst/>
          </c:spPr>
          <c:marker>
            <c:symbol val="none"/>
          </c:marker>
          <c:cat>
            <c:strRef>
              <c:f>Product_Master!$G$3:$G$43</c:f>
              <c:strCache>
                <c:ptCount val="40"/>
                <c:pt idx="0">
                  <c:v>Almond Crunch Bar</c:v>
                </c:pt>
                <c:pt idx="1">
                  <c:v>Berry Blast Chocolate</c:v>
                </c:pt>
                <c:pt idx="2">
                  <c:v>Butterscotch Crunch Bar</c:v>
                </c:pt>
                <c:pt idx="3">
                  <c:v>Caramel Crunch Cubes</c:v>
                </c:pt>
                <c:pt idx="4">
                  <c:v>Cashew Delight Bites</c:v>
                </c:pt>
                <c:pt idx="5">
                  <c:v>Choco Aura Custom Bar</c:v>
                </c:pt>
                <c:pt idx="6">
                  <c:v>Choco Biscuit Pops</c:v>
                </c:pt>
                <c:pt idx="7">
                  <c:v>Choco Crunch Cone</c:v>
                </c:pt>
                <c:pt idx="8">
                  <c:v>Choco Dip Cookie</c:v>
                </c:pt>
                <c:pt idx="9">
                  <c:v>Choco Fudge Squares</c:v>
                </c:pt>
                <c:pt idx="10">
                  <c:v>Choco Lava Bites</c:v>
                </c:pt>
                <c:pt idx="11">
                  <c:v>Choco Pie Popstick</c:v>
                </c:pt>
                <c:pt idx="12">
                  <c:v>Classic Dark Chocolate</c:v>
                </c:pt>
                <c:pt idx="13">
                  <c:v>Coconut Delight Bar</c:v>
                </c:pt>
                <c:pt idx="14">
                  <c:v>Coffee Mocha Bites</c:v>
                </c:pt>
                <c:pt idx="15">
                  <c:v>Crunchy Wafer Chocolate</c:v>
                </c:pt>
                <c:pt idx="16">
                  <c:v>Dark Fantasy Squares</c:v>
                </c:pt>
                <c:pt idx="17">
                  <c:v>Dry Fruit Special Chocolate</c:v>
                </c:pt>
                <c:pt idx="18">
                  <c:v>Duo Choco Bites</c:v>
                </c:pt>
                <c:pt idx="19">
                  <c:v>Festive Chocolate Pack</c:v>
                </c:pt>
                <c:pt idx="20">
                  <c:v>Fruit &amp; Nut Chocolate</c:v>
                </c:pt>
                <c:pt idx="21">
                  <c:v>Golden Caramel Bites</c:v>
                </c:pt>
                <c:pt idx="22">
                  <c:v>Hazelnut Praline Chocolate</c:v>
                </c:pt>
                <c:pt idx="23">
                  <c:v>Honey Almond Chocolate</c:v>
                </c:pt>
                <c:pt idx="24">
                  <c:v>Kesar Milk Chocolate</c:v>
                </c:pt>
                <c:pt idx="25">
                  <c:v>Kunafa Bites</c:v>
                </c:pt>
                <c:pt idx="26">
                  <c:v>Love Loaded Chocolate Bar</c:v>
                </c:pt>
                <c:pt idx="27">
                  <c:v>Luxury Praline Box</c:v>
                </c:pt>
                <c:pt idx="28">
                  <c:v>Milk Chocolate Coins</c:v>
                </c:pt>
                <c:pt idx="29">
                  <c:v>Mint Choco Squares</c:v>
                </c:pt>
                <c:pt idx="30">
                  <c:v>Nutella Filled Bites</c:v>
                </c:pt>
                <c:pt idx="31">
                  <c:v>Orange Zest Chocolate</c:v>
                </c:pt>
                <c:pt idx="32">
                  <c:v>Pistachio Fusion Chocolate</c:v>
                </c:pt>
                <c:pt idx="33">
                  <c:v>Premium Cocoa Slabs</c:v>
                </c:pt>
                <c:pt idx="34">
                  <c:v>Rose Pista Chocolate</c:v>
                </c:pt>
                <c:pt idx="35">
                  <c:v>Royal Dryfruit Mix</c:v>
                </c:pt>
                <c:pt idx="36">
                  <c:v>Signature Cocoa Bars</c:v>
                </c:pt>
                <c:pt idx="37">
                  <c:v>Silk Ganache Cubes</c:v>
                </c:pt>
                <c:pt idx="38">
                  <c:v>Velvet Truffle Bites</c:v>
                </c:pt>
                <c:pt idx="39">
                  <c:v>White Chocolate Truffle</c:v>
                </c:pt>
              </c:strCache>
            </c:strRef>
          </c:cat>
          <c:val>
            <c:numRef>
              <c:f>Product_Master!$I$3:$I$43</c:f>
              <c:numCache>
                <c:formatCode>General</c:formatCode>
                <c:ptCount val="40"/>
                <c:pt idx="0">
                  <c:v>90</c:v>
                </c:pt>
                <c:pt idx="1">
                  <c:v>168</c:v>
                </c:pt>
                <c:pt idx="2">
                  <c:v>109</c:v>
                </c:pt>
                <c:pt idx="3">
                  <c:v>158</c:v>
                </c:pt>
                <c:pt idx="4">
                  <c:v>98</c:v>
                </c:pt>
                <c:pt idx="5">
                  <c:v>128</c:v>
                </c:pt>
                <c:pt idx="6">
                  <c:v>113</c:v>
                </c:pt>
                <c:pt idx="7">
                  <c:v>86</c:v>
                </c:pt>
                <c:pt idx="8">
                  <c:v>98</c:v>
                </c:pt>
                <c:pt idx="9">
                  <c:v>130</c:v>
                </c:pt>
                <c:pt idx="10">
                  <c:v>100</c:v>
                </c:pt>
                <c:pt idx="11">
                  <c:v>74</c:v>
                </c:pt>
                <c:pt idx="12">
                  <c:v>139</c:v>
                </c:pt>
                <c:pt idx="13">
                  <c:v>37</c:v>
                </c:pt>
                <c:pt idx="14">
                  <c:v>61</c:v>
                </c:pt>
                <c:pt idx="15">
                  <c:v>144</c:v>
                </c:pt>
                <c:pt idx="16">
                  <c:v>96</c:v>
                </c:pt>
                <c:pt idx="17">
                  <c:v>160</c:v>
                </c:pt>
                <c:pt idx="18">
                  <c:v>99</c:v>
                </c:pt>
                <c:pt idx="19">
                  <c:v>145</c:v>
                </c:pt>
                <c:pt idx="20">
                  <c:v>156</c:v>
                </c:pt>
                <c:pt idx="21">
                  <c:v>160</c:v>
                </c:pt>
                <c:pt idx="22">
                  <c:v>76</c:v>
                </c:pt>
                <c:pt idx="23">
                  <c:v>119</c:v>
                </c:pt>
                <c:pt idx="24">
                  <c:v>151</c:v>
                </c:pt>
                <c:pt idx="25">
                  <c:v>146</c:v>
                </c:pt>
                <c:pt idx="26">
                  <c:v>140</c:v>
                </c:pt>
                <c:pt idx="27">
                  <c:v>181</c:v>
                </c:pt>
                <c:pt idx="28">
                  <c:v>52</c:v>
                </c:pt>
                <c:pt idx="29">
                  <c:v>147</c:v>
                </c:pt>
                <c:pt idx="30">
                  <c:v>89</c:v>
                </c:pt>
                <c:pt idx="31">
                  <c:v>65</c:v>
                </c:pt>
                <c:pt idx="32">
                  <c:v>143</c:v>
                </c:pt>
                <c:pt idx="33">
                  <c:v>135</c:v>
                </c:pt>
                <c:pt idx="34">
                  <c:v>96</c:v>
                </c:pt>
                <c:pt idx="35">
                  <c:v>135</c:v>
                </c:pt>
                <c:pt idx="36">
                  <c:v>154</c:v>
                </c:pt>
                <c:pt idx="37">
                  <c:v>82</c:v>
                </c:pt>
                <c:pt idx="38">
                  <c:v>199</c:v>
                </c:pt>
                <c:pt idx="39">
                  <c:v>95</c:v>
                </c:pt>
              </c:numCache>
            </c:numRef>
          </c:val>
          <c:smooth val="0"/>
          <c:extLst>
            <c:ext xmlns:c16="http://schemas.microsoft.com/office/drawing/2014/chart" uri="{C3380CC4-5D6E-409C-BE32-E72D297353CC}">
              <c16:uniqueId val="{00000001-F2D0-4AE7-8C96-A8B5354E329E}"/>
            </c:ext>
          </c:extLst>
        </c:ser>
        <c:dLbls>
          <c:showLegendKey val="0"/>
          <c:showVal val="0"/>
          <c:showCatName val="0"/>
          <c:showSerName val="0"/>
          <c:showPercent val="0"/>
          <c:showBubbleSize val="0"/>
        </c:dLbls>
        <c:marker val="1"/>
        <c:smooth val="0"/>
        <c:axId val="715167183"/>
        <c:axId val="715175823"/>
      </c:lineChart>
      <c:catAx>
        <c:axId val="715167183"/>
        <c:scaling>
          <c:orientation val="minMax"/>
        </c:scaling>
        <c:delete val="1"/>
        <c:axPos val="b"/>
        <c:numFmt formatCode="General" sourceLinked="1"/>
        <c:majorTickMark val="none"/>
        <c:minorTickMark val="none"/>
        <c:tickLblPos val="nextTo"/>
        <c:crossAx val="715175823"/>
        <c:crosses val="autoZero"/>
        <c:auto val="1"/>
        <c:lblAlgn val="ctr"/>
        <c:lblOffset val="100"/>
        <c:noMultiLvlLbl val="0"/>
      </c:catAx>
      <c:valAx>
        <c:axId val="71517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671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Sales-Inventory Excel dashboard.xlsx]Inventory!PivotTable1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Low Stock Alert Productst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Inventory!$U$5</c:f>
              <c:strCache>
                <c:ptCount val="1"/>
                <c:pt idx="0">
                  <c:v>Total</c:v>
                </c:pt>
              </c:strCache>
            </c:strRef>
          </c:tx>
          <c:spPr>
            <a:solidFill>
              <a:schemeClr val="accent1"/>
            </a:solidFill>
            <a:ln>
              <a:noFill/>
            </a:ln>
            <a:effectLst/>
          </c:spPr>
          <c:invertIfNegative val="0"/>
          <c:cat>
            <c:strRef>
              <c:f>Inventory!$T$6:$T$23</c:f>
              <c:strCache>
                <c:ptCount val="17"/>
                <c:pt idx="0">
                  <c:v>Luxury Praline Box</c:v>
                </c:pt>
                <c:pt idx="1">
                  <c:v>Signature Cocoa Bars</c:v>
                </c:pt>
                <c:pt idx="2">
                  <c:v>Pistachio Fusion Chocolate</c:v>
                </c:pt>
                <c:pt idx="3">
                  <c:v>Coconut Delight Bar</c:v>
                </c:pt>
                <c:pt idx="4">
                  <c:v>Fruit &amp; Nut Chocolate</c:v>
                </c:pt>
                <c:pt idx="5">
                  <c:v>Coffee Mocha Bites</c:v>
                </c:pt>
                <c:pt idx="6">
                  <c:v>Orange Zest Chocolate</c:v>
                </c:pt>
                <c:pt idx="7">
                  <c:v>Crunchy Wafer Chocolate</c:v>
                </c:pt>
                <c:pt idx="8">
                  <c:v>Rose Pista Chocolate</c:v>
                </c:pt>
                <c:pt idx="9">
                  <c:v>Kesar Milk Chocolate</c:v>
                </c:pt>
                <c:pt idx="10">
                  <c:v>Caramel Crunch Cubes</c:v>
                </c:pt>
                <c:pt idx="11">
                  <c:v>Dry Fruit Special Chocolate</c:v>
                </c:pt>
                <c:pt idx="12">
                  <c:v>Duo Choco Bites</c:v>
                </c:pt>
                <c:pt idx="13">
                  <c:v>Almond Crunch Bar</c:v>
                </c:pt>
                <c:pt idx="14">
                  <c:v>Nutella Filled Bites</c:v>
                </c:pt>
                <c:pt idx="15">
                  <c:v>Classic Dark Chocolate</c:v>
                </c:pt>
                <c:pt idx="16">
                  <c:v>Festive Chocolate Pack</c:v>
                </c:pt>
              </c:strCache>
            </c:strRef>
          </c:cat>
          <c:val>
            <c:numRef>
              <c:f>Inventory!$U$6:$U$23</c:f>
              <c:numCache>
                <c:formatCode>General</c:formatCode>
                <c:ptCount val="17"/>
                <c:pt idx="0">
                  <c:v>4</c:v>
                </c:pt>
                <c:pt idx="1">
                  <c:v>4</c:v>
                </c:pt>
                <c:pt idx="2">
                  <c:v>4</c:v>
                </c:pt>
                <c:pt idx="3">
                  <c:v>4</c:v>
                </c:pt>
                <c:pt idx="4">
                  <c:v>4</c:v>
                </c:pt>
                <c:pt idx="5">
                  <c:v>4</c:v>
                </c:pt>
                <c:pt idx="6">
                  <c:v>4</c:v>
                </c:pt>
                <c:pt idx="7">
                  <c:v>4</c:v>
                </c:pt>
                <c:pt idx="8">
                  <c:v>4</c:v>
                </c:pt>
                <c:pt idx="9">
                  <c:v>3</c:v>
                </c:pt>
                <c:pt idx="10">
                  <c:v>3</c:v>
                </c:pt>
                <c:pt idx="11">
                  <c:v>3</c:v>
                </c:pt>
                <c:pt idx="12">
                  <c:v>3</c:v>
                </c:pt>
                <c:pt idx="13">
                  <c:v>2</c:v>
                </c:pt>
                <c:pt idx="14">
                  <c:v>2</c:v>
                </c:pt>
                <c:pt idx="15">
                  <c:v>2</c:v>
                </c:pt>
                <c:pt idx="16">
                  <c:v>2</c:v>
                </c:pt>
              </c:numCache>
            </c:numRef>
          </c:val>
          <c:extLst>
            <c:ext xmlns:c16="http://schemas.microsoft.com/office/drawing/2014/chart" uri="{C3380CC4-5D6E-409C-BE32-E72D297353CC}">
              <c16:uniqueId val="{00000000-46CA-48EF-855D-BB23EA245EA7}"/>
            </c:ext>
          </c:extLst>
        </c:ser>
        <c:dLbls>
          <c:showLegendKey val="0"/>
          <c:showVal val="0"/>
          <c:showCatName val="0"/>
          <c:showSerName val="0"/>
          <c:showPercent val="0"/>
          <c:showBubbleSize val="0"/>
        </c:dLbls>
        <c:gapWidth val="182"/>
        <c:axId val="118922383"/>
        <c:axId val="118922863"/>
      </c:barChart>
      <c:catAx>
        <c:axId val="11892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2863"/>
        <c:crosses val="autoZero"/>
        <c:auto val="1"/>
        <c:lblAlgn val="ctr"/>
        <c:lblOffset val="100"/>
        <c:noMultiLvlLbl val="0"/>
      </c:catAx>
      <c:valAx>
        <c:axId val="118922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1.xml"/><Relationship Id="rId26" Type="http://schemas.openxmlformats.org/officeDocument/2006/relationships/chart" Target="../charts/chart9.xml"/><Relationship Id="rId3" Type="http://schemas.openxmlformats.org/officeDocument/2006/relationships/image" Target="../media/image3.svg"/><Relationship Id="rId21" Type="http://schemas.openxmlformats.org/officeDocument/2006/relationships/chart" Target="../charts/chart4.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3.xml"/><Relationship Id="rId29"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chart" Target="../charts/chart7.xml"/><Relationship Id="rId5" Type="http://schemas.openxmlformats.org/officeDocument/2006/relationships/image" Target="../media/image5.svg"/><Relationship Id="rId15" Type="http://schemas.openxmlformats.org/officeDocument/2006/relationships/image" Target="../media/image15.svg"/><Relationship Id="rId23" Type="http://schemas.openxmlformats.org/officeDocument/2006/relationships/chart" Target="../charts/chart6.xml"/><Relationship Id="rId28" Type="http://schemas.openxmlformats.org/officeDocument/2006/relationships/chart" Target="../charts/chart10.xml"/><Relationship Id="rId10" Type="http://schemas.openxmlformats.org/officeDocument/2006/relationships/image" Target="../media/image10.png"/><Relationship Id="rId19"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chart" Target="../charts/chart5.xml"/><Relationship Id="rId27" Type="http://schemas.openxmlformats.org/officeDocument/2006/relationships/image" Target="../media/image18.emf"/><Relationship Id="rId30"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editAs="oneCell">
    <xdr:from>
      <xdr:col>15</xdr:col>
      <xdr:colOff>402831</xdr:colOff>
      <xdr:row>20</xdr:row>
      <xdr:rowOff>163315</xdr:rowOff>
    </xdr:from>
    <xdr:to>
      <xdr:col>17</xdr:col>
      <xdr:colOff>666442</xdr:colOff>
      <xdr:row>34</xdr:row>
      <xdr:rowOff>35371</xdr:rowOff>
    </xdr:to>
    <mc:AlternateContent xmlns:mc="http://schemas.openxmlformats.org/markup-compatibility/2006">
      <mc:Choice xmlns:a14="http://schemas.microsoft.com/office/drawing/2010/main" Requires="a14">
        <xdr:graphicFrame macro="">
          <xdr:nvGraphicFramePr>
            <xdr:cNvPr id="3" name="Supplier 1">
              <a:extLst>
                <a:ext uri="{FF2B5EF4-FFF2-40B4-BE49-F238E27FC236}">
                  <a16:creationId xmlns:a16="http://schemas.microsoft.com/office/drawing/2014/main" id="{F080C563-63EE-51E9-8EE6-A1E49CD8B0EC}"/>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dr:sp macro="" textlink="">
          <xdr:nvSpPr>
            <xdr:cNvPr id="0" name=""/>
            <xdr:cNvSpPr>
              <a:spLocks noTextEdit="1"/>
            </xdr:cNvSpPr>
          </xdr:nvSpPr>
          <xdr:spPr>
            <a:xfrm>
              <a:off x="13954074" y="387034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0</xdr:row>
      <xdr:rowOff>106680</xdr:rowOff>
    </xdr:from>
    <xdr:to>
      <xdr:col>21</xdr:col>
      <xdr:colOff>495300</xdr:colOff>
      <xdr:row>4</xdr:row>
      <xdr:rowOff>53340</xdr:rowOff>
    </xdr:to>
    <xdr:sp macro="" textlink="">
      <xdr:nvSpPr>
        <xdr:cNvPr id="2" name="Rectangle: Rounded Corners 1">
          <a:extLst>
            <a:ext uri="{FF2B5EF4-FFF2-40B4-BE49-F238E27FC236}">
              <a16:creationId xmlns:a16="http://schemas.microsoft.com/office/drawing/2014/main" id="{E07BA40B-6D9F-06ED-3615-EB8A3E805C93}"/>
            </a:ext>
          </a:extLst>
        </xdr:cNvPr>
        <xdr:cNvSpPr/>
      </xdr:nvSpPr>
      <xdr:spPr>
        <a:xfrm>
          <a:off x="137160" y="106680"/>
          <a:ext cx="13769340" cy="708660"/>
        </a:xfrm>
        <a:prstGeom prst="roundRect">
          <a:avLst/>
        </a:prstGeom>
        <a:solidFill>
          <a:srgbClr val="EEF4FB"/>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266700</xdr:colOff>
      <xdr:row>0</xdr:row>
      <xdr:rowOff>0</xdr:rowOff>
    </xdr:from>
    <xdr:to>
      <xdr:col>6</xdr:col>
      <xdr:colOff>586740</xdr:colOff>
      <xdr:row>4</xdr:row>
      <xdr:rowOff>167640</xdr:rowOff>
    </xdr:to>
    <xdr:pic>
      <xdr:nvPicPr>
        <xdr:cNvPr id="4" name="Picture 3">
          <a:extLst>
            <a:ext uri="{FF2B5EF4-FFF2-40B4-BE49-F238E27FC236}">
              <a16:creationId xmlns:a16="http://schemas.microsoft.com/office/drawing/2014/main" id="{3831FC3B-4829-FD66-9D48-C2F56533E5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4700" y="0"/>
          <a:ext cx="929640" cy="929640"/>
        </a:xfrm>
        <a:prstGeom prst="rect">
          <a:avLst/>
        </a:prstGeom>
      </xdr:spPr>
    </xdr:pic>
    <xdr:clientData/>
  </xdr:twoCellAnchor>
  <xdr:twoCellAnchor>
    <xdr:from>
      <xdr:col>7</xdr:col>
      <xdr:colOff>22860</xdr:colOff>
      <xdr:row>1</xdr:row>
      <xdr:rowOff>30480</xdr:rowOff>
    </xdr:from>
    <xdr:to>
      <xdr:col>16</xdr:col>
      <xdr:colOff>434340</xdr:colOff>
      <xdr:row>3</xdr:row>
      <xdr:rowOff>0</xdr:rowOff>
    </xdr:to>
    <xdr:sp macro="" textlink="">
      <xdr:nvSpPr>
        <xdr:cNvPr id="5" name="Rectangle 4">
          <a:extLst>
            <a:ext uri="{FF2B5EF4-FFF2-40B4-BE49-F238E27FC236}">
              <a16:creationId xmlns:a16="http://schemas.microsoft.com/office/drawing/2014/main" id="{E478BED4-C1C9-D5B5-F9B4-7B6B2F979768}"/>
            </a:ext>
          </a:extLst>
        </xdr:cNvPr>
        <xdr:cNvSpPr/>
      </xdr:nvSpPr>
      <xdr:spPr>
        <a:xfrm>
          <a:off x="4290060" y="213360"/>
          <a:ext cx="5897880" cy="335280"/>
        </a:xfrm>
        <a:prstGeom prst="rect">
          <a:avLst/>
        </a:prstGeom>
        <a:solidFill>
          <a:srgbClr val="F5F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Times New Roman" panose="02020603050405020304" pitchFamily="18" charset="0"/>
              <a:cs typeface="Times New Roman" panose="02020603050405020304" pitchFamily="18" charset="0"/>
            </a:rPr>
            <a:t>Retail Sales &amp; Inventory Intelligence Dashboard</a:t>
          </a:r>
        </a:p>
      </xdr:txBody>
    </xdr:sp>
    <xdr:clientData/>
  </xdr:twoCellAnchor>
  <xdr:twoCellAnchor>
    <xdr:from>
      <xdr:col>0</xdr:col>
      <xdr:colOff>152400</xdr:colOff>
      <xdr:row>4</xdr:row>
      <xdr:rowOff>121920</xdr:rowOff>
    </xdr:from>
    <xdr:to>
      <xdr:col>1</xdr:col>
      <xdr:colOff>777240</xdr:colOff>
      <xdr:row>9</xdr:row>
      <xdr:rowOff>15240</xdr:rowOff>
    </xdr:to>
    <xdr:sp macro="" textlink="">
      <xdr:nvSpPr>
        <xdr:cNvPr id="3" name="Rectangle: Rounded Corners 2">
          <a:extLst>
            <a:ext uri="{FF2B5EF4-FFF2-40B4-BE49-F238E27FC236}">
              <a16:creationId xmlns:a16="http://schemas.microsoft.com/office/drawing/2014/main" id="{08ABF255-DC73-5673-0C21-68BB351FA8D9}"/>
            </a:ext>
          </a:extLst>
        </xdr:cNvPr>
        <xdr:cNvSpPr/>
      </xdr:nvSpPr>
      <xdr:spPr>
        <a:xfrm>
          <a:off x="15240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2</xdr:col>
      <xdr:colOff>7620</xdr:colOff>
      <xdr:row>4</xdr:row>
      <xdr:rowOff>121920</xdr:rowOff>
    </xdr:from>
    <xdr:to>
      <xdr:col>4</xdr:col>
      <xdr:colOff>426720</xdr:colOff>
      <xdr:row>9</xdr:row>
      <xdr:rowOff>15240</xdr:rowOff>
    </xdr:to>
    <xdr:sp macro="" textlink="">
      <xdr:nvSpPr>
        <xdr:cNvPr id="14" name="Rectangle: Rounded Corners 13">
          <a:extLst>
            <a:ext uri="{FF2B5EF4-FFF2-40B4-BE49-F238E27FC236}">
              <a16:creationId xmlns:a16="http://schemas.microsoft.com/office/drawing/2014/main" id="{35BA301C-09BF-4452-E202-32CE4650FFE9}"/>
            </a:ext>
          </a:extLst>
        </xdr:cNvPr>
        <xdr:cNvSpPr/>
      </xdr:nvSpPr>
      <xdr:spPr>
        <a:xfrm>
          <a:off x="18364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495300</xdr:colOff>
      <xdr:row>4</xdr:row>
      <xdr:rowOff>121920</xdr:rowOff>
    </xdr:from>
    <xdr:to>
      <xdr:col>7</xdr:col>
      <xdr:colOff>304800</xdr:colOff>
      <xdr:row>9</xdr:row>
      <xdr:rowOff>15240</xdr:rowOff>
    </xdr:to>
    <xdr:sp macro="" textlink="">
      <xdr:nvSpPr>
        <xdr:cNvPr id="16" name="Rectangle: Rounded Corners 15">
          <a:extLst>
            <a:ext uri="{FF2B5EF4-FFF2-40B4-BE49-F238E27FC236}">
              <a16:creationId xmlns:a16="http://schemas.microsoft.com/office/drawing/2014/main" id="{F8CD5D8D-A497-7D30-6D7A-60FF9667E378}"/>
            </a:ext>
          </a:extLst>
        </xdr:cNvPr>
        <xdr:cNvSpPr/>
      </xdr:nvSpPr>
      <xdr:spPr>
        <a:xfrm>
          <a:off x="354330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396240</xdr:colOff>
      <xdr:row>4</xdr:row>
      <xdr:rowOff>121920</xdr:rowOff>
    </xdr:from>
    <xdr:to>
      <xdr:col>10</xdr:col>
      <xdr:colOff>205740</xdr:colOff>
      <xdr:row>9</xdr:row>
      <xdr:rowOff>15240</xdr:rowOff>
    </xdr:to>
    <xdr:sp macro="" textlink="">
      <xdr:nvSpPr>
        <xdr:cNvPr id="18" name="Rectangle: Rounded Corners 17">
          <a:extLst>
            <a:ext uri="{FF2B5EF4-FFF2-40B4-BE49-F238E27FC236}">
              <a16:creationId xmlns:a16="http://schemas.microsoft.com/office/drawing/2014/main" id="{761C826D-9CA3-8387-B416-610BBE475303}"/>
            </a:ext>
          </a:extLst>
        </xdr:cNvPr>
        <xdr:cNvSpPr/>
      </xdr:nvSpPr>
      <xdr:spPr>
        <a:xfrm>
          <a:off x="527304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274320</xdr:colOff>
      <xdr:row>4</xdr:row>
      <xdr:rowOff>121920</xdr:rowOff>
    </xdr:from>
    <xdr:to>
      <xdr:col>13</xdr:col>
      <xdr:colOff>83820</xdr:colOff>
      <xdr:row>9</xdr:row>
      <xdr:rowOff>15240</xdr:rowOff>
    </xdr:to>
    <xdr:sp macro="" textlink="">
      <xdr:nvSpPr>
        <xdr:cNvPr id="19" name="Rectangle: Rounded Corners 18">
          <a:extLst>
            <a:ext uri="{FF2B5EF4-FFF2-40B4-BE49-F238E27FC236}">
              <a16:creationId xmlns:a16="http://schemas.microsoft.com/office/drawing/2014/main" id="{0DAA1E61-C254-2F1D-A9AF-A117595B9C98}"/>
            </a:ext>
          </a:extLst>
        </xdr:cNvPr>
        <xdr:cNvSpPr/>
      </xdr:nvSpPr>
      <xdr:spPr>
        <a:xfrm>
          <a:off x="69799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198120</xdr:colOff>
      <xdr:row>4</xdr:row>
      <xdr:rowOff>121920</xdr:rowOff>
    </xdr:from>
    <xdr:to>
      <xdr:col>16</xdr:col>
      <xdr:colOff>7620</xdr:colOff>
      <xdr:row>9</xdr:row>
      <xdr:rowOff>15240</xdr:rowOff>
    </xdr:to>
    <xdr:sp macro="" textlink="">
      <xdr:nvSpPr>
        <xdr:cNvPr id="20" name="Rectangle: Rounded Corners 19">
          <a:extLst>
            <a:ext uri="{FF2B5EF4-FFF2-40B4-BE49-F238E27FC236}">
              <a16:creationId xmlns:a16="http://schemas.microsoft.com/office/drawing/2014/main" id="{1BD575C6-E0C1-BD58-328B-074148F31115}"/>
            </a:ext>
          </a:extLst>
        </xdr:cNvPr>
        <xdr:cNvSpPr/>
      </xdr:nvSpPr>
      <xdr:spPr>
        <a:xfrm>
          <a:off x="87325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121920</xdr:colOff>
      <xdr:row>4</xdr:row>
      <xdr:rowOff>121920</xdr:rowOff>
    </xdr:from>
    <xdr:to>
      <xdr:col>18</xdr:col>
      <xdr:colOff>541020</xdr:colOff>
      <xdr:row>9</xdr:row>
      <xdr:rowOff>15240</xdr:rowOff>
    </xdr:to>
    <xdr:sp macro="" textlink="">
      <xdr:nvSpPr>
        <xdr:cNvPr id="21" name="Rectangle: Rounded Corners 20">
          <a:extLst>
            <a:ext uri="{FF2B5EF4-FFF2-40B4-BE49-F238E27FC236}">
              <a16:creationId xmlns:a16="http://schemas.microsoft.com/office/drawing/2014/main" id="{B3BB5C16-C3AF-A6F4-59CF-5FCB46F9A893}"/>
            </a:ext>
          </a:extLst>
        </xdr:cNvPr>
        <xdr:cNvSpPr/>
      </xdr:nvSpPr>
      <xdr:spPr>
        <a:xfrm>
          <a:off x="104851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68580</xdr:colOff>
      <xdr:row>4</xdr:row>
      <xdr:rowOff>121920</xdr:rowOff>
    </xdr:from>
    <xdr:to>
      <xdr:col>21</xdr:col>
      <xdr:colOff>487680</xdr:colOff>
      <xdr:row>9</xdr:row>
      <xdr:rowOff>15240</xdr:rowOff>
    </xdr:to>
    <xdr:sp macro="" textlink="">
      <xdr:nvSpPr>
        <xdr:cNvPr id="22" name="Rectangle: Rounded Corners 21">
          <a:extLst>
            <a:ext uri="{FF2B5EF4-FFF2-40B4-BE49-F238E27FC236}">
              <a16:creationId xmlns:a16="http://schemas.microsoft.com/office/drawing/2014/main" id="{13E7FE71-4D2F-C2F6-7CBE-BF8C37D46CAF}"/>
            </a:ext>
          </a:extLst>
        </xdr:cNvPr>
        <xdr:cNvSpPr/>
      </xdr:nvSpPr>
      <xdr:spPr>
        <a:xfrm>
          <a:off x="1226058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742950</xdr:colOff>
      <xdr:row>5</xdr:row>
      <xdr:rowOff>3810</xdr:rowOff>
    </xdr:from>
    <xdr:to>
      <xdr:col>1</xdr:col>
      <xdr:colOff>624840</xdr:colOff>
      <xdr:row>6</xdr:row>
      <xdr:rowOff>106680</xdr:rowOff>
    </xdr:to>
    <xdr:sp macro="" textlink="">
      <xdr:nvSpPr>
        <xdr:cNvPr id="23" name="TextBox 22">
          <a:extLst>
            <a:ext uri="{FF2B5EF4-FFF2-40B4-BE49-F238E27FC236}">
              <a16:creationId xmlns:a16="http://schemas.microsoft.com/office/drawing/2014/main" id="{5FE4C966-C69E-2E98-BA91-EE5932B84773}"/>
            </a:ext>
          </a:extLst>
        </xdr:cNvPr>
        <xdr:cNvSpPr txBox="1"/>
      </xdr:nvSpPr>
      <xdr:spPr>
        <a:xfrm>
          <a:off x="742950" y="948690"/>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solidFill>
              <a:latin typeface="Times New Roman" panose="02020603050405020304" pitchFamily="18" charset="0"/>
              <a:cs typeface="Times New Roman" panose="02020603050405020304" pitchFamily="18" charset="0"/>
            </a:rPr>
            <a:t>Total Sales</a:t>
          </a:r>
        </a:p>
      </xdr:txBody>
    </xdr:sp>
    <xdr:clientData/>
  </xdr:twoCellAnchor>
  <xdr:twoCellAnchor>
    <xdr:from>
      <xdr:col>0</xdr:col>
      <xdr:colOff>438150</xdr:colOff>
      <xdr:row>6</xdr:row>
      <xdr:rowOff>133350</xdr:rowOff>
    </xdr:from>
    <xdr:to>
      <xdr:col>1</xdr:col>
      <xdr:colOff>746760</xdr:colOff>
      <xdr:row>8</xdr:row>
      <xdr:rowOff>121920</xdr:rowOff>
    </xdr:to>
    <xdr:sp macro="" textlink="">
      <xdr:nvSpPr>
        <xdr:cNvPr id="24" name="TextBox 23">
          <a:extLst>
            <a:ext uri="{FF2B5EF4-FFF2-40B4-BE49-F238E27FC236}">
              <a16:creationId xmlns:a16="http://schemas.microsoft.com/office/drawing/2014/main" id="{599892A0-101F-749B-B263-10851B7DFF15}"/>
            </a:ext>
          </a:extLst>
        </xdr:cNvPr>
        <xdr:cNvSpPr txBox="1"/>
      </xdr:nvSpPr>
      <xdr:spPr>
        <a:xfrm>
          <a:off x="438150" y="1261110"/>
          <a:ext cx="132207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chemeClr val="accent2"/>
              </a:solidFill>
              <a:latin typeface="Times New Roman" panose="02020603050405020304" pitchFamily="18" charset="0"/>
              <a:cs typeface="Times New Roman" panose="02020603050405020304" pitchFamily="18" charset="0"/>
            </a:rPr>
            <a:t>₹ </a:t>
          </a:r>
          <a:r>
            <a:rPr lang="en-US" sz="1800" b="1">
              <a:solidFill>
                <a:schemeClr val="accent2"/>
              </a:solidFill>
              <a:latin typeface="Times New Roman" panose="02020603050405020304" pitchFamily="18" charset="0"/>
              <a:ea typeface="+mn-ea"/>
              <a:cs typeface="Times New Roman" panose="02020603050405020304" pitchFamily="18" charset="0"/>
            </a:rPr>
            <a:t>4,48,372.15</a:t>
          </a:r>
        </a:p>
      </xdr:txBody>
    </xdr:sp>
    <xdr:clientData/>
  </xdr:twoCellAnchor>
  <xdr:twoCellAnchor>
    <xdr:from>
      <xdr:col>2</xdr:col>
      <xdr:colOff>514350</xdr:colOff>
      <xdr:row>5</xdr:row>
      <xdr:rowOff>3810</xdr:rowOff>
    </xdr:from>
    <xdr:to>
      <xdr:col>4</xdr:col>
      <xdr:colOff>190500</xdr:colOff>
      <xdr:row>6</xdr:row>
      <xdr:rowOff>106680</xdr:rowOff>
    </xdr:to>
    <xdr:sp macro="" textlink="">
      <xdr:nvSpPr>
        <xdr:cNvPr id="25" name="TextBox 24">
          <a:extLst>
            <a:ext uri="{FF2B5EF4-FFF2-40B4-BE49-F238E27FC236}">
              <a16:creationId xmlns:a16="http://schemas.microsoft.com/office/drawing/2014/main" id="{02557D61-A838-FCEA-90CA-E86281F5D888}"/>
            </a:ext>
          </a:extLst>
        </xdr:cNvPr>
        <xdr:cNvSpPr txBox="1"/>
      </xdr:nvSpPr>
      <xdr:spPr>
        <a:xfrm>
          <a:off x="2343150" y="948690"/>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030A0"/>
              </a:solidFill>
              <a:latin typeface="Times New Roman" panose="02020603050405020304" pitchFamily="18" charset="0"/>
              <a:cs typeface="Times New Roman" panose="02020603050405020304" pitchFamily="18" charset="0"/>
            </a:rPr>
            <a:t>Total</a:t>
          </a:r>
          <a:r>
            <a:rPr lang="en-IN" sz="1100" b="1">
              <a:solidFill>
                <a:schemeClr val="accent2"/>
              </a:solidFill>
              <a:latin typeface="Times New Roman" panose="02020603050405020304" pitchFamily="18" charset="0"/>
              <a:cs typeface="Times New Roman" panose="02020603050405020304" pitchFamily="18" charset="0"/>
            </a:rPr>
            <a:t> </a:t>
          </a:r>
          <a:r>
            <a:rPr lang="en-IN" sz="1100" b="1">
              <a:solidFill>
                <a:srgbClr val="7030A0"/>
              </a:solidFill>
              <a:latin typeface="Times New Roman" panose="02020603050405020304" pitchFamily="18" charset="0"/>
              <a:cs typeface="Times New Roman" panose="02020603050405020304" pitchFamily="18" charset="0"/>
            </a:rPr>
            <a:t>Profit</a:t>
          </a:r>
        </a:p>
      </xdr:txBody>
    </xdr:sp>
    <xdr:clientData/>
  </xdr:twoCellAnchor>
  <xdr:twoCellAnchor>
    <xdr:from>
      <xdr:col>2</xdr:col>
      <xdr:colOff>140970</xdr:colOff>
      <xdr:row>6</xdr:row>
      <xdr:rowOff>140970</xdr:rowOff>
    </xdr:from>
    <xdr:to>
      <xdr:col>4</xdr:col>
      <xdr:colOff>243840</xdr:colOff>
      <xdr:row>8</xdr:row>
      <xdr:rowOff>129540</xdr:rowOff>
    </xdr:to>
    <xdr:sp macro="" textlink="Sales_Data!P8">
      <xdr:nvSpPr>
        <xdr:cNvPr id="26" name="TextBox 25">
          <a:extLst>
            <a:ext uri="{FF2B5EF4-FFF2-40B4-BE49-F238E27FC236}">
              <a16:creationId xmlns:a16="http://schemas.microsoft.com/office/drawing/2014/main" id="{F62E5FED-F699-D92C-906A-0E43728A376C}"/>
            </a:ext>
          </a:extLst>
        </xdr:cNvPr>
        <xdr:cNvSpPr txBox="1"/>
      </xdr:nvSpPr>
      <xdr:spPr>
        <a:xfrm>
          <a:off x="1969770" y="1268730"/>
          <a:ext cx="132207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824E4E19-961B-48F2-8A25-2B8E3C443BF1}" type="TxLink">
            <a:rPr lang="en-US" sz="1800" b="1" i="0" u="none" strike="noStrike">
              <a:solidFill>
                <a:srgbClr val="7030A0"/>
              </a:solidFill>
              <a:latin typeface="Times New Roman" panose="02020603050405020304" pitchFamily="18" charset="0"/>
              <a:ea typeface="Calibri"/>
              <a:cs typeface="Times New Roman" panose="02020603050405020304" pitchFamily="18" charset="0"/>
            </a:rPr>
            <a:pPr marL="0" indent="0"/>
            <a:t>₹ 2,07,956.00</a:t>
          </a:fld>
          <a:endParaRPr lang="en-US" sz="1800" b="1" i="0" u="none" strike="noStrike">
            <a:solidFill>
              <a:srgbClr val="7030A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5</xdr:col>
      <xdr:colOff>430530</xdr:colOff>
      <xdr:row>5</xdr:row>
      <xdr:rowOff>102870</xdr:rowOff>
    </xdr:from>
    <xdr:to>
      <xdr:col>7</xdr:col>
      <xdr:colOff>259080</xdr:colOff>
      <xdr:row>6</xdr:row>
      <xdr:rowOff>160020</xdr:rowOff>
    </xdr:to>
    <xdr:sp macro="" textlink="">
      <xdr:nvSpPr>
        <xdr:cNvPr id="27" name="TextBox 26">
          <a:extLst>
            <a:ext uri="{FF2B5EF4-FFF2-40B4-BE49-F238E27FC236}">
              <a16:creationId xmlns:a16="http://schemas.microsoft.com/office/drawing/2014/main" id="{6B8B386E-618A-C1ED-8D0E-DA23629D4201}"/>
            </a:ext>
          </a:extLst>
        </xdr:cNvPr>
        <xdr:cNvSpPr txBox="1"/>
      </xdr:nvSpPr>
      <xdr:spPr>
        <a:xfrm>
          <a:off x="4088130" y="1047750"/>
          <a:ext cx="1047750" cy="24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accent2"/>
              </a:solidFill>
              <a:latin typeface="Times New Roman" panose="02020603050405020304" pitchFamily="18" charset="0"/>
              <a:cs typeface="Times New Roman" panose="02020603050405020304" pitchFamily="18" charset="0"/>
            </a:rPr>
            <a:t> </a:t>
          </a:r>
          <a:r>
            <a:rPr lang="en-IN" sz="1100" b="1">
              <a:solidFill>
                <a:srgbClr val="FF0000"/>
              </a:solidFill>
              <a:latin typeface="Times New Roman" panose="02020603050405020304" pitchFamily="18" charset="0"/>
              <a:cs typeface="Times New Roman" panose="02020603050405020304" pitchFamily="18" charset="0"/>
            </a:rPr>
            <a:t>Profit</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rgbClr val="FF0000"/>
              </a:solidFill>
              <a:latin typeface="Times New Roman" panose="02020603050405020304" pitchFamily="18" charset="0"/>
              <a:cs typeface="Times New Roman" panose="02020603050405020304" pitchFamily="18" charset="0"/>
            </a:rPr>
            <a:t>Margin%</a:t>
          </a:r>
          <a:endParaRPr lang="en-IN" sz="11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198120</xdr:colOff>
      <xdr:row>6</xdr:row>
      <xdr:rowOff>133350</xdr:rowOff>
    </xdr:from>
    <xdr:to>
      <xdr:col>7</xdr:col>
      <xdr:colOff>236220</xdr:colOff>
      <xdr:row>8</xdr:row>
      <xdr:rowOff>121920</xdr:rowOff>
    </xdr:to>
    <xdr:sp macro="" textlink="Sales_Data!P11">
      <xdr:nvSpPr>
        <xdr:cNvPr id="28" name="TextBox 27">
          <a:extLst>
            <a:ext uri="{FF2B5EF4-FFF2-40B4-BE49-F238E27FC236}">
              <a16:creationId xmlns:a16="http://schemas.microsoft.com/office/drawing/2014/main" id="{C785C788-950C-1689-BA87-B79E9B744421}"/>
            </a:ext>
          </a:extLst>
        </xdr:cNvPr>
        <xdr:cNvSpPr txBox="1"/>
      </xdr:nvSpPr>
      <xdr:spPr>
        <a:xfrm>
          <a:off x="4465320" y="1261110"/>
          <a:ext cx="64770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5D25223-9CBB-46FF-935D-A27E950CF033}" type="TxLink">
            <a:rPr lang="en-US" sz="1800" b="1" i="0" u="none" strike="noStrike">
              <a:solidFill>
                <a:srgbClr val="FF0000"/>
              </a:solidFill>
              <a:latin typeface="Times New Roman" panose="02020603050405020304" pitchFamily="18" charset="0"/>
              <a:ea typeface="Calibri"/>
              <a:cs typeface="Times New Roman" panose="02020603050405020304" pitchFamily="18" charset="0"/>
            </a:rPr>
            <a:pPr/>
            <a:t>46%</a:t>
          </a:fld>
          <a:endParaRPr lang="en-US" sz="18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361950</xdr:colOff>
      <xdr:row>5</xdr:row>
      <xdr:rowOff>3810</xdr:rowOff>
    </xdr:from>
    <xdr:to>
      <xdr:col>10</xdr:col>
      <xdr:colOff>38100</xdr:colOff>
      <xdr:row>6</xdr:row>
      <xdr:rowOff>106680</xdr:rowOff>
    </xdr:to>
    <xdr:sp macro="" textlink="">
      <xdr:nvSpPr>
        <xdr:cNvPr id="29" name="TextBox 28">
          <a:extLst>
            <a:ext uri="{FF2B5EF4-FFF2-40B4-BE49-F238E27FC236}">
              <a16:creationId xmlns:a16="http://schemas.microsoft.com/office/drawing/2014/main" id="{89B73D5D-EB83-458A-0B58-95134634A6D2}"/>
            </a:ext>
          </a:extLst>
        </xdr:cNvPr>
        <xdr:cNvSpPr txBox="1"/>
      </xdr:nvSpPr>
      <xdr:spPr>
        <a:xfrm>
          <a:off x="5848350" y="948690"/>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chemeClr val="accent6">
                  <a:lumMod val="75000"/>
                </a:schemeClr>
              </a:solidFill>
              <a:latin typeface="Times New Roman" panose="02020603050405020304" pitchFamily="18" charset="0"/>
              <a:cs typeface="Times New Roman" panose="02020603050405020304" pitchFamily="18" charset="0"/>
            </a:rPr>
            <a:t>Total</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chemeClr val="accent6">
                  <a:lumMod val="75000"/>
                </a:schemeClr>
              </a:solidFill>
              <a:latin typeface="Times New Roman" panose="02020603050405020304" pitchFamily="18" charset="0"/>
              <a:cs typeface="Times New Roman" panose="02020603050405020304" pitchFamily="18" charset="0"/>
            </a:rPr>
            <a:t>Orders</a:t>
          </a:r>
          <a:endParaRPr lang="en-IN" sz="1100" b="1">
            <a:solidFill>
              <a:schemeClr val="accent6">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434340</xdr:colOff>
      <xdr:row>6</xdr:row>
      <xdr:rowOff>41910</xdr:rowOff>
    </xdr:from>
    <xdr:to>
      <xdr:col>10</xdr:col>
      <xdr:colOff>83820</xdr:colOff>
      <xdr:row>8</xdr:row>
      <xdr:rowOff>30480</xdr:rowOff>
    </xdr:to>
    <xdr:sp macro="" textlink="Sales_Data!P15">
      <xdr:nvSpPr>
        <xdr:cNvPr id="30" name="TextBox 29">
          <a:extLst>
            <a:ext uri="{FF2B5EF4-FFF2-40B4-BE49-F238E27FC236}">
              <a16:creationId xmlns:a16="http://schemas.microsoft.com/office/drawing/2014/main" id="{E790D1E4-0CF6-8CDD-96FB-BB5B74677BA0}"/>
            </a:ext>
          </a:extLst>
        </xdr:cNvPr>
        <xdr:cNvSpPr txBox="1"/>
      </xdr:nvSpPr>
      <xdr:spPr>
        <a:xfrm>
          <a:off x="5920740" y="1169670"/>
          <a:ext cx="86868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B4BD4F8-3244-4461-94DC-64994724D702}" type="TxLink">
            <a:rPr lang="en-US" sz="1800" b="1" i="0" u="none" strike="noStrike">
              <a:solidFill>
                <a:schemeClr val="accent6">
                  <a:lumMod val="75000"/>
                </a:schemeClr>
              </a:solidFill>
              <a:latin typeface="Calibri"/>
              <a:ea typeface="Calibri"/>
              <a:cs typeface="Calibri"/>
            </a:rPr>
            <a:pPr algn="ctr"/>
            <a:t>500</a:t>
          </a:fld>
          <a:endParaRPr lang="en-US" sz="3600" b="1">
            <a:solidFill>
              <a:schemeClr val="accent6">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491490</xdr:colOff>
      <xdr:row>5</xdr:row>
      <xdr:rowOff>26670</xdr:rowOff>
    </xdr:from>
    <xdr:to>
      <xdr:col>12</xdr:col>
      <xdr:colOff>586740</xdr:colOff>
      <xdr:row>6</xdr:row>
      <xdr:rowOff>129540</xdr:rowOff>
    </xdr:to>
    <xdr:sp macro="" textlink="">
      <xdr:nvSpPr>
        <xdr:cNvPr id="31" name="TextBox 30">
          <a:extLst>
            <a:ext uri="{FF2B5EF4-FFF2-40B4-BE49-F238E27FC236}">
              <a16:creationId xmlns:a16="http://schemas.microsoft.com/office/drawing/2014/main" id="{5569D1CD-82CA-EB33-3289-C03B119576B6}"/>
            </a:ext>
          </a:extLst>
        </xdr:cNvPr>
        <xdr:cNvSpPr txBox="1"/>
      </xdr:nvSpPr>
      <xdr:spPr>
        <a:xfrm>
          <a:off x="7197090" y="971550"/>
          <a:ext cx="13144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chemeClr val="accent4">
                  <a:lumMod val="50000"/>
                </a:schemeClr>
              </a:solidFill>
              <a:latin typeface="Times New Roman" panose="02020603050405020304" pitchFamily="18" charset="0"/>
              <a:cs typeface="Times New Roman" panose="02020603050405020304" pitchFamily="18" charset="0"/>
            </a:rPr>
            <a:t>Total</a:t>
          </a:r>
          <a:r>
            <a:rPr lang="en-IN" sz="1100" b="1">
              <a:solidFill>
                <a:schemeClr val="accent2"/>
              </a:solidFill>
              <a:latin typeface="Times New Roman" panose="02020603050405020304" pitchFamily="18" charset="0"/>
              <a:cs typeface="Times New Roman" panose="02020603050405020304" pitchFamily="18" charset="0"/>
            </a:rPr>
            <a:t> </a:t>
          </a:r>
          <a:r>
            <a:rPr lang="en-IN" sz="1100" b="1">
              <a:solidFill>
                <a:schemeClr val="accent4">
                  <a:lumMod val="50000"/>
                </a:schemeClr>
              </a:solidFill>
              <a:latin typeface="Times New Roman" panose="02020603050405020304" pitchFamily="18" charset="0"/>
              <a:cs typeface="Times New Roman" panose="02020603050405020304" pitchFamily="18" charset="0"/>
            </a:rPr>
            <a:t>Quantity</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chemeClr val="accent4">
                  <a:lumMod val="50000"/>
                </a:schemeClr>
              </a:solidFill>
              <a:latin typeface="Times New Roman" panose="02020603050405020304" pitchFamily="18" charset="0"/>
              <a:cs typeface="Times New Roman" panose="02020603050405020304" pitchFamily="18" charset="0"/>
            </a:rPr>
            <a:t>Sold</a:t>
          </a:r>
          <a:endParaRPr lang="en-IN" sz="1100" b="1">
            <a:solidFill>
              <a:schemeClr val="accent4">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544830</xdr:colOff>
      <xdr:row>6</xdr:row>
      <xdr:rowOff>125730</xdr:rowOff>
    </xdr:from>
    <xdr:to>
      <xdr:col>12</xdr:col>
      <xdr:colOff>472440</xdr:colOff>
      <xdr:row>8</xdr:row>
      <xdr:rowOff>114300</xdr:rowOff>
    </xdr:to>
    <xdr:sp macro="" textlink="Sales_Data!P18">
      <xdr:nvSpPr>
        <xdr:cNvPr id="32" name="TextBox 31">
          <a:extLst>
            <a:ext uri="{FF2B5EF4-FFF2-40B4-BE49-F238E27FC236}">
              <a16:creationId xmlns:a16="http://schemas.microsoft.com/office/drawing/2014/main" id="{3CDCF25F-DD63-4C31-B90B-6B908E590991}"/>
            </a:ext>
          </a:extLst>
        </xdr:cNvPr>
        <xdr:cNvSpPr txBox="1"/>
      </xdr:nvSpPr>
      <xdr:spPr>
        <a:xfrm>
          <a:off x="7860030" y="1253490"/>
          <a:ext cx="53721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27A1B28-E48F-4535-9136-F626833D4DE6}" type="TxLink">
            <a:rPr lang="en-US" sz="1800" b="1" i="0" u="none" strike="noStrike">
              <a:solidFill>
                <a:schemeClr val="accent4">
                  <a:lumMod val="50000"/>
                </a:schemeClr>
              </a:solidFill>
              <a:latin typeface="Times New Roman" panose="02020603050405020304" pitchFamily="18" charset="0"/>
              <a:ea typeface="Calibri"/>
              <a:cs typeface="Times New Roman" panose="02020603050405020304" pitchFamily="18" charset="0"/>
            </a:rPr>
            <a:pPr/>
            <a:t>4033</a:t>
          </a:fld>
          <a:endParaRPr lang="en-US" sz="3600" b="1">
            <a:solidFill>
              <a:schemeClr val="accent4">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506730</xdr:colOff>
      <xdr:row>5</xdr:row>
      <xdr:rowOff>19050</xdr:rowOff>
    </xdr:from>
    <xdr:to>
      <xdr:col>15</xdr:col>
      <xdr:colOff>502920</xdr:colOff>
      <xdr:row>6</xdr:row>
      <xdr:rowOff>121920</xdr:rowOff>
    </xdr:to>
    <xdr:sp macro="" textlink="">
      <xdr:nvSpPr>
        <xdr:cNvPr id="33" name="TextBox 32">
          <a:extLst>
            <a:ext uri="{FF2B5EF4-FFF2-40B4-BE49-F238E27FC236}">
              <a16:creationId xmlns:a16="http://schemas.microsoft.com/office/drawing/2014/main" id="{5D9996E9-5E7C-B27B-75C5-D656A3A4A8DA}"/>
            </a:ext>
          </a:extLst>
        </xdr:cNvPr>
        <xdr:cNvSpPr txBox="1"/>
      </xdr:nvSpPr>
      <xdr:spPr>
        <a:xfrm>
          <a:off x="9041130" y="963930"/>
          <a:ext cx="121539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chemeClr val="accent3">
                  <a:lumMod val="50000"/>
                </a:schemeClr>
              </a:solidFill>
              <a:latin typeface="Times New Roman" panose="02020603050405020304" pitchFamily="18" charset="0"/>
              <a:cs typeface="Times New Roman" panose="02020603050405020304" pitchFamily="18" charset="0"/>
            </a:rPr>
            <a:t>Avg.</a:t>
          </a:r>
          <a:r>
            <a:rPr lang="en-IN" sz="1100" b="1" baseline="0">
              <a:solidFill>
                <a:schemeClr val="accent3">
                  <a:lumMod val="50000"/>
                </a:schemeClr>
              </a:solidFill>
              <a:latin typeface="Times New Roman" panose="02020603050405020304" pitchFamily="18" charset="0"/>
              <a:cs typeface="Times New Roman" panose="02020603050405020304" pitchFamily="18" charset="0"/>
            </a:rPr>
            <a:t> Order Value</a:t>
          </a:r>
          <a:endParaRPr lang="en-IN"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186690</xdr:colOff>
      <xdr:row>6</xdr:row>
      <xdr:rowOff>87630</xdr:rowOff>
    </xdr:from>
    <xdr:to>
      <xdr:col>15</xdr:col>
      <xdr:colOff>487680</xdr:colOff>
      <xdr:row>8</xdr:row>
      <xdr:rowOff>76200</xdr:rowOff>
    </xdr:to>
    <xdr:sp macro="" textlink="Sales_Data!P21">
      <xdr:nvSpPr>
        <xdr:cNvPr id="34" name="TextBox 33">
          <a:extLst>
            <a:ext uri="{FF2B5EF4-FFF2-40B4-BE49-F238E27FC236}">
              <a16:creationId xmlns:a16="http://schemas.microsoft.com/office/drawing/2014/main" id="{A4691BCB-ACD1-5F3D-B13C-A5D79143A383}"/>
            </a:ext>
          </a:extLst>
        </xdr:cNvPr>
        <xdr:cNvSpPr txBox="1"/>
      </xdr:nvSpPr>
      <xdr:spPr>
        <a:xfrm>
          <a:off x="9330690" y="1215390"/>
          <a:ext cx="91059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E5BAF51-E97D-4616-88E9-C29012A0E126}" type="TxLink">
            <a:rPr lang="en-US" sz="1800" b="1" i="0" u="none" strike="noStrike">
              <a:solidFill>
                <a:schemeClr val="accent3">
                  <a:lumMod val="50000"/>
                </a:schemeClr>
              </a:solidFill>
              <a:latin typeface="Times New Roman" panose="02020603050405020304" pitchFamily="18" charset="0"/>
              <a:ea typeface="Calibri"/>
              <a:cs typeface="Times New Roman" panose="02020603050405020304" pitchFamily="18" charset="0"/>
            </a:rPr>
            <a:pPr/>
            <a:t>₹ 896.74</a:t>
          </a:fld>
          <a:endParaRPr lang="en-US" sz="36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476250</xdr:colOff>
      <xdr:row>5</xdr:row>
      <xdr:rowOff>11430</xdr:rowOff>
    </xdr:from>
    <xdr:to>
      <xdr:col>18</xdr:col>
      <xdr:colOff>480060</xdr:colOff>
      <xdr:row>6</xdr:row>
      <xdr:rowOff>114300</xdr:rowOff>
    </xdr:to>
    <xdr:sp macro="" textlink="">
      <xdr:nvSpPr>
        <xdr:cNvPr id="35" name="TextBox 34">
          <a:extLst>
            <a:ext uri="{FF2B5EF4-FFF2-40B4-BE49-F238E27FC236}">
              <a16:creationId xmlns:a16="http://schemas.microsoft.com/office/drawing/2014/main" id="{47893BCB-8290-DCEB-9071-EEDDB478FD45}"/>
            </a:ext>
          </a:extLst>
        </xdr:cNvPr>
        <xdr:cNvSpPr txBox="1"/>
      </xdr:nvSpPr>
      <xdr:spPr>
        <a:xfrm>
          <a:off x="10839450" y="956310"/>
          <a:ext cx="122301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Times New Roman" panose="02020603050405020304" pitchFamily="18" charset="0"/>
              <a:cs typeface="Times New Roman" panose="02020603050405020304" pitchFamily="18" charset="0"/>
            </a:rPr>
            <a:t>Inventory</a:t>
          </a:r>
          <a:r>
            <a:rPr lang="en-IN" sz="1100" b="1" baseline="0">
              <a:solidFill>
                <a:schemeClr val="accent1">
                  <a:lumMod val="50000"/>
                </a:schemeClr>
              </a:solidFill>
              <a:latin typeface="Times New Roman" panose="02020603050405020304" pitchFamily="18" charset="0"/>
              <a:cs typeface="Times New Roman" panose="02020603050405020304" pitchFamily="18" charset="0"/>
            </a:rPr>
            <a:t> Value</a:t>
          </a:r>
          <a:endParaRPr lang="en-IN" sz="11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285750</xdr:colOff>
      <xdr:row>6</xdr:row>
      <xdr:rowOff>163830</xdr:rowOff>
    </xdr:from>
    <xdr:to>
      <xdr:col>18</xdr:col>
      <xdr:colOff>449580</xdr:colOff>
      <xdr:row>8</xdr:row>
      <xdr:rowOff>152400</xdr:rowOff>
    </xdr:to>
    <xdr:sp macro="" textlink="Sales_Data!P24">
      <xdr:nvSpPr>
        <xdr:cNvPr id="36" name="TextBox 35">
          <a:extLst>
            <a:ext uri="{FF2B5EF4-FFF2-40B4-BE49-F238E27FC236}">
              <a16:creationId xmlns:a16="http://schemas.microsoft.com/office/drawing/2014/main" id="{18B070FE-B386-27A7-8A05-7210BEFFF6CB}"/>
            </a:ext>
          </a:extLst>
        </xdr:cNvPr>
        <xdr:cNvSpPr txBox="1"/>
      </xdr:nvSpPr>
      <xdr:spPr>
        <a:xfrm>
          <a:off x="10648950" y="1291590"/>
          <a:ext cx="138303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206B770-E0A8-46C2-8D39-4D56B7DD4B83}" type="TxLink">
            <a:rPr lang="en-US" sz="1800" b="1" i="0" u="none" strike="noStrike">
              <a:solidFill>
                <a:schemeClr val="accent1">
                  <a:lumMod val="50000"/>
                </a:schemeClr>
              </a:solidFill>
              <a:latin typeface="Times New Roman" panose="02020603050405020304" pitchFamily="18" charset="0"/>
              <a:ea typeface="Calibri"/>
              <a:cs typeface="Times New Roman" panose="02020603050405020304" pitchFamily="18" charset="0"/>
            </a:rPr>
            <a:pPr/>
            <a:t>₹ 13,06,080.00</a:t>
          </a:fld>
          <a:endParaRPr lang="en-US" sz="36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243840</xdr:colOff>
      <xdr:row>5</xdr:row>
      <xdr:rowOff>3810</xdr:rowOff>
    </xdr:from>
    <xdr:to>
      <xdr:col>21</xdr:col>
      <xdr:colOff>342900</xdr:colOff>
      <xdr:row>6</xdr:row>
      <xdr:rowOff>106680</xdr:rowOff>
    </xdr:to>
    <xdr:sp macro="" textlink="">
      <xdr:nvSpPr>
        <xdr:cNvPr id="37" name="TextBox 36">
          <a:extLst>
            <a:ext uri="{FF2B5EF4-FFF2-40B4-BE49-F238E27FC236}">
              <a16:creationId xmlns:a16="http://schemas.microsoft.com/office/drawing/2014/main" id="{CAD824B0-5EC3-CB4B-F952-591FF297F65A}"/>
            </a:ext>
          </a:extLst>
        </xdr:cNvPr>
        <xdr:cNvSpPr txBox="1"/>
      </xdr:nvSpPr>
      <xdr:spPr>
        <a:xfrm>
          <a:off x="12435840" y="948690"/>
          <a:ext cx="131826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rgbClr val="CC00CC"/>
              </a:solidFill>
              <a:latin typeface="Times New Roman" panose="02020603050405020304" pitchFamily="18" charset="0"/>
              <a:cs typeface="Times New Roman" panose="02020603050405020304" pitchFamily="18" charset="0"/>
            </a:rPr>
            <a:t>Inventory</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rgbClr val="CC00CC"/>
              </a:solidFill>
              <a:latin typeface="Times New Roman" panose="02020603050405020304" pitchFamily="18" charset="0"/>
              <a:cs typeface="Times New Roman" panose="02020603050405020304" pitchFamily="18" charset="0"/>
            </a:rPr>
            <a:t>Turnover</a:t>
          </a:r>
          <a:endParaRPr lang="en-IN" sz="1100" b="1">
            <a:solidFill>
              <a:srgbClr val="CC00CC"/>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87630</xdr:colOff>
      <xdr:row>6</xdr:row>
      <xdr:rowOff>110490</xdr:rowOff>
    </xdr:from>
    <xdr:to>
      <xdr:col>21</xdr:col>
      <xdr:colOff>198120</xdr:colOff>
      <xdr:row>8</xdr:row>
      <xdr:rowOff>99060</xdr:rowOff>
    </xdr:to>
    <xdr:sp macro="" textlink="Sales_Data!P27">
      <xdr:nvSpPr>
        <xdr:cNvPr id="38" name="TextBox 37">
          <a:extLst>
            <a:ext uri="{FF2B5EF4-FFF2-40B4-BE49-F238E27FC236}">
              <a16:creationId xmlns:a16="http://schemas.microsoft.com/office/drawing/2014/main" id="{D47E0F37-F5AD-9C52-A996-7805A67E8288}"/>
            </a:ext>
          </a:extLst>
        </xdr:cNvPr>
        <xdr:cNvSpPr txBox="1"/>
      </xdr:nvSpPr>
      <xdr:spPr>
        <a:xfrm>
          <a:off x="12889230" y="1238250"/>
          <a:ext cx="72009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7C3E867-BA06-4047-AC12-068E2C3BEECB}" type="TxLink">
            <a:rPr lang="en-US" sz="1800" b="1" i="0" u="none" strike="noStrike">
              <a:solidFill>
                <a:srgbClr val="CC00CC"/>
              </a:solidFill>
              <a:latin typeface="Times New Roman" panose="02020603050405020304" pitchFamily="18" charset="0"/>
              <a:ea typeface="Calibri"/>
              <a:cs typeface="Times New Roman" panose="02020603050405020304" pitchFamily="18" charset="0"/>
            </a:rPr>
            <a:pPr/>
            <a:t>179.78</a:t>
          </a:fld>
          <a:endParaRPr lang="en-US" sz="3600" b="1">
            <a:solidFill>
              <a:srgbClr val="CC00CC"/>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266700</xdr:colOff>
      <xdr:row>4</xdr:row>
      <xdr:rowOff>76200</xdr:rowOff>
    </xdr:from>
    <xdr:to>
      <xdr:col>0</xdr:col>
      <xdr:colOff>769620</xdr:colOff>
      <xdr:row>7</xdr:row>
      <xdr:rowOff>30480</xdr:rowOff>
    </xdr:to>
    <xdr:pic>
      <xdr:nvPicPr>
        <xdr:cNvPr id="40" name="Graphic 39" descr="Money with solid fill">
          <a:extLst>
            <a:ext uri="{FF2B5EF4-FFF2-40B4-BE49-F238E27FC236}">
              <a16:creationId xmlns:a16="http://schemas.microsoft.com/office/drawing/2014/main" id="{981B5DB3-0E9F-1AA4-9957-47D5B4E759A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6700" y="838200"/>
          <a:ext cx="502920" cy="502920"/>
        </a:xfrm>
        <a:prstGeom prst="rect">
          <a:avLst/>
        </a:prstGeom>
      </xdr:spPr>
    </xdr:pic>
    <xdr:clientData/>
  </xdr:twoCellAnchor>
  <xdr:twoCellAnchor editAs="oneCell">
    <xdr:from>
      <xdr:col>2</xdr:col>
      <xdr:colOff>91440</xdr:colOff>
      <xdr:row>4</xdr:row>
      <xdr:rowOff>129540</xdr:rowOff>
    </xdr:from>
    <xdr:to>
      <xdr:col>2</xdr:col>
      <xdr:colOff>541020</xdr:colOff>
      <xdr:row>7</xdr:row>
      <xdr:rowOff>30480</xdr:rowOff>
    </xdr:to>
    <xdr:pic>
      <xdr:nvPicPr>
        <xdr:cNvPr id="42" name="Graphic 41" descr="Bar graph with upward trend with solid fill">
          <a:extLst>
            <a:ext uri="{FF2B5EF4-FFF2-40B4-BE49-F238E27FC236}">
              <a16:creationId xmlns:a16="http://schemas.microsoft.com/office/drawing/2014/main" id="{831D0814-7139-C944-0456-1A02C8DA6CE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20240" y="891540"/>
          <a:ext cx="449580" cy="449580"/>
        </a:xfrm>
        <a:prstGeom prst="rect">
          <a:avLst/>
        </a:prstGeom>
      </xdr:spPr>
    </xdr:pic>
    <xdr:clientData/>
  </xdr:twoCellAnchor>
  <xdr:twoCellAnchor editAs="oneCell">
    <xdr:from>
      <xdr:col>4</xdr:col>
      <xdr:colOff>548640</xdr:colOff>
      <xdr:row>5</xdr:row>
      <xdr:rowOff>68580</xdr:rowOff>
    </xdr:from>
    <xdr:to>
      <xdr:col>5</xdr:col>
      <xdr:colOff>449580</xdr:colOff>
      <xdr:row>8</xdr:row>
      <xdr:rowOff>30480</xdr:rowOff>
    </xdr:to>
    <xdr:pic>
      <xdr:nvPicPr>
        <xdr:cNvPr id="44" name="Graphic 43" descr="Bar chart with solid fill">
          <a:extLst>
            <a:ext uri="{FF2B5EF4-FFF2-40B4-BE49-F238E27FC236}">
              <a16:creationId xmlns:a16="http://schemas.microsoft.com/office/drawing/2014/main" id="{703B2040-9584-A489-6C17-E1CAC5D1588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96640" y="1013460"/>
          <a:ext cx="510540" cy="510540"/>
        </a:xfrm>
        <a:prstGeom prst="rect">
          <a:avLst/>
        </a:prstGeom>
      </xdr:spPr>
    </xdr:pic>
    <xdr:clientData/>
  </xdr:twoCellAnchor>
  <xdr:twoCellAnchor editAs="oneCell">
    <xdr:from>
      <xdr:col>7</xdr:col>
      <xdr:colOff>487680</xdr:colOff>
      <xdr:row>5</xdr:row>
      <xdr:rowOff>114300</xdr:rowOff>
    </xdr:from>
    <xdr:to>
      <xdr:col>8</xdr:col>
      <xdr:colOff>373380</xdr:colOff>
      <xdr:row>8</xdr:row>
      <xdr:rowOff>60960</xdr:rowOff>
    </xdr:to>
    <xdr:pic>
      <xdr:nvPicPr>
        <xdr:cNvPr id="46" name="Graphic 45" descr="Medical with solid fill">
          <a:extLst>
            <a:ext uri="{FF2B5EF4-FFF2-40B4-BE49-F238E27FC236}">
              <a16:creationId xmlns:a16="http://schemas.microsoft.com/office/drawing/2014/main" id="{D0C58E07-CA51-D003-BC5E-05FA8359F9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64480" y="1059180"/>
          <a:ext cx="495300" cy="495300"/>
        </a:xfrm>
        <a:prstGeom prst="rect">
          <a:avLst/>
        </a:prstGeom>
      </xdr:spPr>
    </xdr:pic>
    <xdr:clientData/>
  </xdr:twoCellAnchor>
  <xdr:twoCellAnchor editAs="oneCell">
    <xdr:from>
      <xdr:col>10</xdr:col>
      <xdr:colOff>365760</xdr:colOff>
      <xdr:row>6</xdr:row>
      <xdr:rowOff>7620</xdr:rowOff>
    </xdr:from>
    <xdr:to>
      <xdr:col>11</xdr:col>
      <xdr:colOff>259081</xdr:colOff>
      <xdr:row>8</xdr:row>
      <xdr:rowOff>144780</xdr:rowOff>
    </xdr:to>
    <xdr:pic>
      <xdr:nvPicPr>
        <xdr:cNvPr id="50" name="Graphic 49" descr="Braille with solid fill">
          <a:extLst>
            <a:ext uri="{FF2B5EF4-FFF2-40B4-BE49-F238E27FC236}">
              <a16:creationId xmlns:a16="http://schemas.microsoft.com/office/drawing/2014/main" id="{53CAB856-77EF-DBDC-CB3B-EAA4C4234E9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71360" y="1135380"/>
          <a:ext cx="502920" cy="502920"/>
        </a:xfrm>
        <a:prstGeom prst="rect">
          <a:avLst/>
        </a:prstGeom>
      </xdr:spPr>
    </xdr:pic>
    <xdr:clientData/>
  </xdr:twoCellAnchor>
  <xdr:twoCellAnchor editAs="oneCell">
    <xdr:from>
      <xdr:col>13</xdr:col>
      <xdr:colOff>175260</xdr:colOff>
      <xdr:row>5</xdr:row>
      <xdr:rowOff>160020</xdr:rowOff>
    </xdr:from>
    <xdr:to>
      <xdr:col>14</xdr:col>
      <xdr:colOff>30480</xdr:colOff>
      <xdr:row>8</xdr:row>
      <xdr:rowOff>76200</xdr:rowOff>
    </xdr:to>
    <xdr:pic>
      <xdr:nvPicPr>
        <xdr:cNvPr id="52" name="Graphic 51" descr="Hourglass Finished with solid fill">
          <a:extLst>
            <a:ext uri="{FF2B5EF4-FFF2-40B4-BE49-F238E27FC236}">
              <a16:creationId xmlns:a16="http://schemas.microsoft.com/office/drawing/2014/main" id="{B146F395-2509-CED1-D50A-F97F04E486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709660" y="1104900"/>
          <a:ext cx="464820" cy="464820"/>
        </a:xfrm>
        <a:prstGeom prst="rect">
          <a:avLst/>
        </a:prstGeom>
      </xdr:spPr>
    </xdr:pic>
    <xdr:clientData/>
  </xdr:twoCellAnchor>
  <xdr:twoCellAnchor editAs="oneCell">
    <xdr:from>
      <xdr:col>19</xdr:col>
      <xdr:colOff>182880</xdr:colOff>
      <xdr:row>6</xdr:row>
      <xdr:rowOff>45720</xdr:rowOff>
    </xdr:from>
    <xdr:to>
      <xdr:col>20</xdr:col>
      <xdr:colOff>216</xdr:colOff>
      <xdr:row>8</xdr:row>
      <xdr:rowOff>106680</xdr:rowOff>
    </xdr:to>
    <xdr:pic>
      <xdr:nvPicPr>
        <xdr:cNvPr id="54" name="Graphic 53" descr="Coins with solid fill">
          <a:extLst>
            <a:ext uri="{FF2B5EF4-FFF2-40B4-BE49-F238E27FC236}">
              <a16:creationId xmlns:a16="http://schemas.microsoft.com/office/drawing/2014/main" id="{29E1049F-54E2-0FF9-EBC2-9DA3404D23A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374880" y="1173480"/>
          <a:ext cx="426720" cy="426720"/>
        </a:xfrm>
        <a:prstGeom prst="rect">
          <a:avLst/>
        </a:prstGeom>
      </xdr:spPr>
    </xdr:pic>
    <xdr:clientData/>
  </xdr:twoCellAnchor>
  <xdr:twoCellAnchor editAs="oneCell">
    <xdr:from>
      <xdr:col>16</xdr:col>
      <xdr:colOff>129540</xdr:colOff>
      <xdr:row>4</xdr:row>
      <xdr:rowOff>175260</xdr:rowOff>
    </xdr:from>
    <xdr:to>
      <xdr:col>16</xdr:col>
      <xdr:colOff>571500</xdr:colOff>
      <xdr:row>7</xdr:row>
      <xdr:rowOff>68580</xdr:rowOff>
    </xdr:to>
    <xdr:pic>
      <xdr:nvPicPr>
        <xdr:cNvPr id="56" name="Graphic 55" descr="Presentation with bar chart with solid fill">
          <a:extLst>
            <a:ext uri="{FF2B5EF4-FFF2-40B4-BE49-F238E27FC236}">
              <a16:creationId xmlns:a16="http://schemas.microsoft.com/office/drawing/2014/main" id="{71F6743E-AFA3-3273-4605-D5660FF08EE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492740" y="937260"/>
          <a:ext cx="441960" cy="441960"/>
        </a:xfrm>
        <a:prstGeom prst="rect">
          <a:avLst/>
        </a:prstGeom>
      </xdr:spPr>
    </xdr:pic>
    <xdr:clientData/>
  </xdr:twoCellAnchor>
  <xdr:twoCellAnchor>
    <xdr:from>
      <xdr:col>0</xdr:col>
      <xdr:colOff>144780</xdr:colOff>
      <xdr:row>9</xdr:row>
      <xdr:rowOff>91439</xdr:rowOff>
    </xdr:from>
    <xdr:to>
      <xdr:col>1</xdr:col>
      <xdr:colOff>754380</xdr:colOff>
      <xdr:row>34</xdr:row>
      <xdr:rowOff>29083</xdr:rowOff>
    </xdr:to>
    <xdr:sp macro="" textlink="">
      <xdr:nvSpPr>
        <xdr:cNvPr id="6" name="Rectangle: Rounded Corners 5">
          <a:extLst>
            <a:ext uri="{FF2B5EF4-FFF2-40B4-BE49-F238E27FC236}">
              <a16:creationId xmlns:a16="http://schemas.microsoft.com/office/drawing/2014/main" id="{79E3CA5D-DB2A-4E5E-B1CA-24A17758AB98}"/>
            </a:ext>
          </a:extLst>
        </xdr:cNvPr>
        <xdr:cNvSpPr/>
      </xdr:nvSpPr>
      <xdr:spPr>
        <a:xfrm>
          <a:off x="144780" y="1749225"/>
          <a:ext cx="1674073" cy="4445660"/>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34</xdr:row>
      <xdr:rowOff>104702</xdr:rowOff>
    </xdr:from>
    <xdr:to>
      <xdr:col>1</xdr:col>
      <xdr:colOff>739140</xdr:colOff>
      <xdr:row>48</xdr:row>
      <xdr:rowOff>12628</xdr:rowOff>
    </xdr:to>
    <xdr:sp macro="" textlink="">
      <xdr:nvSpPr>
        <xdr:cNvPr id="7" name="Rectangle: Rounded Corners 6">
          <a:extLst>
            <a:ext uri="{FF2B5EF4-FFF2-40B4-BE49-F238E27FC236}">
              <a16:creationId xmlns:a16="http://schemas.microsoft.com/office/drawing/2014/main" id="{E78F870A-A49E-7638-4F78-ABCF286EC16C}"/>
            </a:ext>
          </a:extLst>
        </xdr:cNvPr>
        <xdr:cNvSpPr/>
      </xdr:nvSpPr>
      <xdr:spPr>
        <a:xfrm>
          <a:off x="129540" y="6270504"/>
          <a:ext cx="1674073" cy="2432414"/>
        </a:xfrm>
        <a:prstGeom prst="roundRect">
          <a:avLst>
            <a:gd name="adj" fmla="val 46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916202</xdr:colOff>
      <xdr:row>9</xdr:row>
      <xdr:rowOff>122034</xdr:rowOff>
    </xdr:from>
    <xdr:to>
      <xdr:col>7</xdr:col>
      <xdr:colOff>19537</xdr:colOff>
      <xdr:row>20</xdr:row>
      <xdr:rowOff>175846</xdr:rowOff>
    </xdr:to>
    <xdr:sp macro="" textlink="">
      <xdr:nvSpPr>
        <xdr:cNvPr id="8" name="Rectangle: Rounded Corners 7">
          <a:extLst>
            <a:ext uri="{FF2B5EF4-FFF2-40B4-BE49-F238E27FC236}">
              <a16:creationId xmlns:a16="http://schemas.microsoft.com/office/drawing/2014/main" id="{C06CBD26-63F9-A180-E86E-4A465B712DF0}"/>
            </a:ext>
          </a:extLst>
        </xdr:cNvPr>
        <xdr:cNvSpPr/>
      </xdr:nvSpPr>
      <xdr:spPr>
        <a:xfrm>
          <a:off x="1981048" y="1821880"/>
          <a:ext cx="3196643" cy="2095581"/>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359357</xdr:colOff>
      <xdr:row>9</xdr:row>
      <xdr:rowOff>161110</xdr:rowOff>
    </xdr:from>
    <xdr:to>
      <xdr:col>16</xdr:col>
      <xdr:colOff>29307</xdr:colOff>
      <xdr:row>21</xdr:row>
      <xdr:rowOff>9768</xdr:rowOff>
    </xdr:to>
    <xdr:sp macro="" textlink="">
      <xdr:nvSpPr>
        <xdr:cNvPr id="9" name="Rectangle: Rounded Corners 8">
          <a:extLst>
            <a:ext uri="{FF2B5EF4-FFF2-40B4-BE49-F238E27FC236}">
              <a16:creationId xmlns:a16="http://schemas.microsoft.com/office/drawing/2014/main" id="{DF5D79F2-7BB7-3C90-1648-27C80B57F5E8}"/>
            </a:ext>
          </a:extLst>
        </xdr:cNvPr>
        <xdr:cNvSpPr/>
      </xdr:nvSpPr>
      <xdr:spPr>
        <a:xfrm>
          <a:off x="7940280" y="1860956"/>
          <a:ext cx="2698412" cy="2076043"/>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105355</xdr:colOff>
      <xdr:row>9</xdr:row>
      <xdr:rowOff>131804</xdr:rowOff>
    </xdr:from>
    <xdr:to>
      <xdr:col>11</xdr:col>
      <xdr:colOff>293077</xdr:colOff>
      <xdr:row>20</xdr:row>
      <xdr:rowOff>175847</xdr:rowOff>
    </xdr:to>
    <xdr:sp macro="" textlink="">
      <xdr:nvSpPr>
        <xdr:cNvPr id="10" name="Rectangle: Rounded Corners 9">
          <a:extLst>
            <a:ext uri="{FF2B5EF4-FFF2-40B4-BE49-F238E27FC236}">
              <a16:creationId xmlns:a16="http://schemas.microsoft.com/office/drawing/2014/main" id="{E9691EC4-0EB2-88E9-B3A4-60EAB832B62D}"/>
            </a:ext>
          </a:extLst>
        </xdr:cNvPr>
        <xdr:cNvSpPr/>
      </xdr:nvSpPr>
      <xdr:spPr>
        <a:xfrm>
          <a:off x="5263509" y="1831650"/>
          <a:ext cx="2610491" cy="2085812"/>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136769</xdr:colOff>
      <xdr:row>9</xdr:row>
      <xdr:rowOff>122036</xdr:rowOff>
    </xdr:from>
    <xdr:to>
      <xdr:col>21</xdr:col>
      <xdr:colOff>488461</xdr:colOff>
      <xdr:row>21</xdr:row>
      <xdr:rowOff>19538</xdr:rowOff>
    </xdr:to>
    <xdr:sp macro="" textlink="">
      <xdr:nvSpPr>
        <xdr:cNvPr id="11" name="Rectangle: Rounded Corners 10">
          <a:extLst>
            <a:ext uri="{FF2B5EF4-FFF2-40B4-BE49-F238E27FC236}">
              <a16:creationId xmlns:a16="http://schemas.microsoft.com/office/drawing/2014/main" id="{9912A4CD-230D-9C61-00C2-FB308C8E880D}"/>
            </a:ext>
          </a:extLst>
        </xdr:cNvPr>
        <xdr:cNvSpPr/>
      </xdr:nvSpPr>
      <xdr:spPr>
        <a:xfrm>
          <a:off x="10746154" y="1821882"/>
          <a:ext cx="3380153" cy="2124887"/>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1002632</xdr:colOff>
      <xdr:row>9</xdr:row>
      <xdr:rowOff>166151</xdr:rowOff>
    </xdr:from>
    <xdr:to>
      <xdr:col>6</xdr:col>
      <xdr:colOff>498452</xdr:colOff>
      <xdr:row>20</xdr:row>
      <xdr:rowOff>68751</xdr:rowOff>
    </xdr:to>
    <xdr:graphicFrame macro="">
      <xdr:nvGraphicFramePr>
        <xdr:cNvPr id="48" name="Chart 47">
          <a:extLst>
            <a:ext uri="{FF2B5EF4-FFF2-40B4-BE49-F238E27FC236}">
              <a16:creationId xmlns:a16="http://schemas.microsoft.com/office/drawing/2014/main" id="{3A6C82CD-C468-4FA7-81D9-AC136CC49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95659</xdr:colOff>
      <xdr:row>9</xdr:row>
      <xdr:rowOff>152958</xdr:rowOff>
    </xdr:from>
    <xdr:to>
      <xdr:col>11</xdr:col>
      <xdr:colOff>234902</xdr:colOff>
      <xdr:row>20</xdr:row>
      <xdr:rowOff>137503</xdr:rowOff>
    </xdr:to>
    <xdr:graphicFrame macro="">
      <xdr:nvGraphicFramePr>
        <xdr:cNvPr id="49" name="Chart 48">
          <a:extLst>
            <a:ext uri="{FF2B5EF4-FFF2-40B4-BE49-F238E27FC236}">
              <a16:creationId xmlns:a16="http://schemas.microsoft.com/office/drawing/2014/main" id="{54CFDF82-F3D8-4A52-805E-B648CE7B4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85940</xdr:colOff>
      <xdr:row>10</xdr:row>
      <xdr:rowOff>17187</xdr:rowOff>
    </xdr:from>
    <xdr:to>
      <xdr:col>21</xdr:col>
      <xdr:colOff>504180</xdr:colOff>
      <xdr:row>20</xdr:row>
      <xdr:rowOff>120314</xdr:rowOff>
    </xdr:to>
    <xdr:graphicFrame macro="">
      <xdr:nvGraphicFramePr>
        <xdr:cNvPr id="51" name="Chart 50">
          <a:extLst>
            <a:ext uri="{FF2B5EF4-FFF2-40B4-BE49-F238E27FC236}">
              <a16:creationId xmlns:a16="http://schemas.microsoft.com/office/drawing/2014/main" id="{AAD1DC41-DE2D-4277-9C7F-A3CF1BF86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343197</xdr:colOff>
      <xdr:row>9</xdr:row>
      <xdr:rowOff>182263</xdr:rowOff>
    </xdr:from>
    <xdr:to>
      <xdr:col>16</xdr:col>
      <xdr:colOff>11459</xdr:colOff>
      <xdr:row>20</xdr:row>
      <xdr:rowOff>177608</xdr:rowOff>
    </xdr:to>
    <xdr:graphicFrame macro="">
      <xdr:nvGraphicFramePr>
        <xdr:cNvPr id="53" name="Chart 52">
          <a:extLst>
            <a:ext uri="{FF2B5EF4-FFF2-40B4-BE49-F238E27FC236}">
              <a16:creationId xmlns:a16="http://schemas.microsoft.com/office/drawing/2014/main" id="{4B536144-D364-49C5-B30B-98B2533D2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920101</xdr:colOff>
      <xdr:row>21</xdr:row>
      <xdr:rowOff>104506</xdr:rowOff>
    </xdr:from>
    <xdr:to>
      <xdr:col>6</xdr:col>
      <xdr:colOff>511098</xdr:colOff>
      <xdr:row>36</xdr:row>
      <xdr:rowOff>39220</xdr:rowOff>
    </xdr:to>
    <xdr:sp macro="" textlink="">
      <xdr:nvSpPr>
        <xdr:cNvPr id="55" name="Rectangle: Rounded Corners 54">
          <a:extLst>
            <a:ext uri="{FF2B5EF4-FFF2-40B4-BE49-F238E27FC236}">
              <a16:creationId xmlns:a16="http://schemas.microsoft.com/office/drawing/2014/main" id="{10FF17C8-1D37-7E69-17BD-BEFB67138FDE}"/>
            </a:ext>
          </a:extLst>
        </xdr:cNvPr>
        <xdr:cNvSpPr/>
      </xdr:nvSpPr>
      <xdr:spPr>
        <a:xfrm>
          <a:off x="1986901" y="3995188"/>
          <a:ext cx="3096197" cy="2691361"/>
        </a:xfrm>
        <a:prstGeom prst="roundRect">
          <a:avLst>
            <a:gd name="adj" fmla="val 421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913279</xdr:colOff>
      <xdr:row>21</xdr:row>
      <xdr:rowOff>104505</xdr:rowOff>
    </xdr:from>
    <xdr:to>
      <xdr:col>7</xdr:col>
      <xdr:colOff>22411</xdr:colOff>
      <xdr:row>36</xdr:row>
      <xdr:rowOff>140072</xdr:rowOff>
    </xdr:to>
    <xdr:graphicFrame macro="">
      <xdr:nvGraphicFramePr>
        <xdr:cNvPr id="58" name="Chart 57">
          <a:extLst>
            <a:ext uri="{FF2B5EF4-FFF2-40B4-BE49-F238E27FC236}">
              <a16:creationId xmlns:a16="http://schemas.microsoft.com/office/drawing/2014/main" id="{8DAC3A19-C795-4D8F-91E3-26359CA3D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604026</xdr:colOff>
      <xdr:row>21</xdr:row>
      <xdr:rowOff>142111</xdr:rowOff>
    </xdr:from>
    <xdr:to>
      <xdr:col>10</xdr:col>
      <xdr:colOff>446049</xdr:colOff>
      <xdr:row>36</xdr:row>
      <xdr:rowOff>24620</xdr:rowOff>
    </xdr:to>
    <xdr:sp macro="" textlink="">
      <xdr:nvSpPr>
        <xdr:cNvPr id="60" name="Rectangle: Rounded Corners 59">
          <a:extLst>
            <a:ext uri="{FF2B5EF4-FFF2-40B4-BE49-F238E27FC236}">
              <a16:creationId xmlns:a16="http://schemas.microsoft.com/office/drawing/2014/main" id="{2F387FC6-FCA3-7E03-A8E9-ADC1BDCE23EC}"/>
            </a:ext>
          </a:extLst>
        </xdr:cNvPr>
        <xdr:cNvSpPr/>
      </xdr:nvSpPr>
      <xdr:spPr>
        <a:xfrm>
          <a:off x="5194611" y="4072916"/>
          <a:ext cx="2295292" cy="2670314"/>
        </a:xfrm>
        <a:prstGeom prst="roundRect">
          <a:avLst>
            <a:gd name="adj" fmla="val 675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520390</xdr:colOff>
      <xdr:row>22</xdr:row>
      <xdr:rowOff>102219</xdr:rowOff>
    </xdr:from>
    <xdr:to>
      <xdr:col>10</xdr:col>
      <xdr:colOff>557560</xdr:colOff>
      <xdr:row>35</xdr:row>
      <xdr:rowOff>111512</xdr:rowOff>
    </xdr:to>
    <xdr:graphicFrame macro="">
      <xdr:nvGraphicFramePr>
        <xdr:cNvPr id="61" name="Chart 60">
          <a:extLst>
            <a:ext uri="{FF2B5EF4-FFF2-40B4-BE49-F238E27FC236}">
              <a16:creationId xmlns:a16="http://schemas.microsoft.com/office/drawing/2014/main" id="{3708203F-DEC0-401F-A31D-7B3B43CCB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532617</xdr:colOff>
      <xdr:row>21</xdr:row>
      <xdr:rowOff>141103</xdr:rowOff>
    </xdr:from>
    <xdr:to>
      <xdr:col>17</xdr:col>
      <xdr:colOff>39616</xdr:colOff>
      <xdr:row>36</xdr:row>
      <xdr:rowOff>734</xdr:rowOff>
    </xdr:to>
    <xdr:sp macro="" textlink="">
      <xdr:nvSpPr>
        <xdr:cNvPr id="13" name="Rectangle: Rounded Corners 12">
          <a:extLst>
            <a:ext uri="{FF2B5EF4-FFF2-40B4-BE49-F238E27FC236}">
              <a16:creationId xmlns:a16="http://schemas.microsoft.com/office/drawing/2014/main" id="{15B51A39-3EDB-ACEF-B14A-F86123084248}"/>
            </a:ext>
          </a:extLst>
        </xdr:cNvPr>
        <xdr:cNvSpPr/>
      </xdr:nvSpPr>
      <xdr:spPr>
        <a:xfrm>
          <a:off x="7576471" y="4071908"/>
          <a:ext cx="3800218" cy="2647436"/>
        </a:xfrm>
        <a:prstGeom prst="roundRect">
          <a:avLst>
            <a:gd name="adj" fmla="val 52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148683</xdr:colOff>
      <xdr:row>21</xdr:row>
      <xdr:rowOff>148683</xdr:rowOff>
    </xdr:from>
    <xdr:to>
      <xdr:col>21</xdr:col>
      <xdr:colOff>455342</xdr:colOff>
      <xdr:row>36</xdr:row>
      <xdr:rowOff>1</xdr:rowOff>
    </xdr:to>
    <xdr:sp macro="" textlink="">
      <xdr:nvSpPr>
        <xdr:cNvPr id="15" name="Rectangle: Rounded Corners 14">
          <a:extLst>
            <a:ext uri="{FF2B5EF4-FFF2-40B4-BE49-F238E27FC236}">
              <a16:creationId xmlns:a16="http://schemas.microsoft.com/office/drawing/2014/main" id="{9A0F059D-68A1-C48E-28DA-3EB803C30FF3}"/>
            </a:ext>
          </a:extLst>
        </xdr:cNvPr>
        <xdr:cNvSpPr/>
      </xdr:nvSpPr>
      <xdr:spPr>
        <a:xfrm>
          <a:off x="11485756" y="4079488"/>
          <a:ext cx="2759927" cy="2639123"/>
        </a:xfrm>
        <a:prstGeom prst="roundRect">
          <a:avLst>
            <a:gd name="adj" fmla="val 50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157975</xdr:colOff>
      <xdr:row>23</xdr:row>
      <xdr:rowOff>111512</xdr:rowOff>
    </xdr:from>
    <xdr:to>
      <xdr:col>21</xdr:col>
      <xdr:colOff>408878</xdr:colOff>
      <xdr:row>28</xdr:row>
      <xdr:rowOff>176562</xdr:rowOff>
    </xdr:to>
    <xdr:graphicFrame macro="">
      <xdr:nvGraphicFramePr>
        <xdr:cNvPr id="17" name="Chart 16">
          <a:extLst>
            <a:ext uri="{FF2B5EF4-FFF2-40B4-BE49-F238E27FC236}">
              <a16:creationId xmlns:a16="http://schemas.microsoft.com/office/drawing/2014/main" id="{6BEA3F9F-95A9-4AA8-AA13-7620AE22B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157977</xdr:colOff>
      <xdr:row>29</xdr:row>
      <xdr:rowOff>55756</xdr:rowOff>
    </xdr:from>
    <xdr:to>
      <xdr:col>21</xdr:col>
      <xdr:colOff>427465</xdr:colOff>
      <xdr:row>35</xdr:row>
      <xdr:rowOff>139390</xdr:rowOff>
    </xdr:to>
    <xdr:graphicFrame macro="">
      <xdr:nvGraphicFramePr>
        <xdr:cNvPr id="39" name="Chart 38">
          <a:extLst>
            <a:ext uri="{FF2B5EF4-FFF2-40B4-BE49-F238E27FC236}">
              <a16:creationId xmlns:a16="http://schemas.microsoft.com/office/drawing/2014/main" id="{3899CE22-B4EB-4C4C-9DE2-C14D11F3B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24</xdr:col>
      <xdr:colOff>585438</xdr:colOff>
      <xdr:row>18</xdr:row>
      <xdr:rowOff>157975</xdr:rowOff>
    </xdr:from>
    <xdr:ext cx="3224561" cy="1598341"/>
    <xdr:sp macro="" textlink="">
      <xdr:nvSpPr>
        <xdr:cNvPr id="41" name="TextBox 40" hidden="1">
          <a:extLst>
            <a:ext uri="{FF2B5EF4-FFF2-40B4-BE49-F238E27FC236}">
              <a16:creationId xmlns:a16="http://schemas.microsoft.com/office/drawing/2014/main" id="{019D59E0-AF11-4F98-E662-FBDB4005D1C3}"/>
            </a:ext>
          </a:extLst>
        </xdr:cNvPr>
        <xdr:cNvSpPr txBox="1"/>
      </xdr:nvSpPr>
      <xdr:spPr>
        <a:xfrm flipH="1" flipV="1">
          <a:off x="16215731" y="3531219"/>
          <a:ext cx="3224561" cy="15983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17</xdr:col>
      <xdr:colOff>520390</xdr:colOff>
      <xdr:row>22</xdr:row>
      <xdr:rowOff>37172</xdr:rowOff>
    </xdr:from>
    <xdr:to>
      <xdr:col>21</xdr:col>
      <xdr:colOff>148683</xdr:colOff>
      <xdr:row>23</xdr:row>
      <xdr:rowOff>65049</xdr:rowOff>
    </xdr:to>
    <xdr:sp macro="" textlink="">
      <xdr:nvSpPr>
        <xdr:cNvPr id="43" name="TextBox 42">
          <a:extLst>
            <a:ext uri="{FF2B5EF4-FFF2-40B4-BE49-F238E27FC236}">
              <a16:creationId xmlns:a16="http://schemas.microsoft.com/office/drawing/2014/main" id="{E1C27D87-FA1A-04E8-93D0-50334D696CC2}"/>
            </a:ext>
          </a:extLst>
        </xdr:cNvPr>
        <xdr:cNvSpPr txBox="1"/>
      </xdr:nvSpPr>
      <xdr:spPr>
        <a:xfrm>
          <a:off x="11857463" y="4153831"/>
          <a:ext cx="2081561" cy="21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Inventory Turnover (Top &amp; Bottom)</a:t>
          </a:r>
        </a:p>
      </xdr:txBody>
    </xdr:sp>
    <xdr:clientData/>
  </xdr:twoCellAnchor>
  <xdr:twoCellAnchor>
    <xdr:from>
      <xdr:col>17</xdr:col>
      <xdr:colOff>297366</xdr:colOff>
      <xdr:row>23</xdr:row>
      <xdr:rowOff>27879</xdr:rowOff>
    </xdr:from>
    <xdr:to>
      <xdr:col>19</xdr:col>
      <xdr:colOff>362415</xdr:colOff>
      <xdr:row>24</xdr:row>
      <xdr:rowOff>74340</xdr:rowOff>
    </xdr:to>
    <xdr:sp macro="" textlink="">
      <xdr:nvSpPr>
        <xdr:cNvPr id="45" name="TextBox 44">
          <a:extLst>
            <a:ext uri="{FF2B5EF4-FFF2-40B4-BE49-F238E27FC236}">
              <a16:creationId xmlns:a16="http://schemas.microsoft.com/office/drawing/2014/main" id="{D3E9772D-376D-4C9B-2641-4444A569DF5B}"/>
            </a:ext>
          </a:extLst>
        </xdr:cNvPr>
        <xdr:cNvSpPr txBox="1"/>
      </xdr:nvSpPr>
      <xdr:spPr>
        <a:xfrm>
          <a:off x="11634439" y="4330391"/>
          <a:ext cx="1291683" cy="23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Top</a:t>
          </a:r>
          <a:r>
            <a:rPr lang="en-IN" sz="1100" baseline="0"/>
            <a:t> 5 (High Turnover)</a:t>
          </a:r>
          <a:endParaRPr lang="en-IN" sz="1100"/>
        </a:p>
      </xdr:txBody>
    </xdr:sp>
    <xdr:clientData/>
  </xdr:twoCellAnchor>
  <xdr:twoCellAnchor>
    <xdr:from>
      <xdr:col>17</xdr:col>
      <xdr:colOff>269489</xdr:colOff>
      <xdr:row>29</xdr:row>
      <xdr:rowOff>9295</xdr:rowOff>
    </xdr:from>
    <xdr:to>
      <xdr:col>19</xdr:col>
      <xdr:colOff>585440</xdr:colOff>
      <xdr:row>30</xdr:row>
      <xdr:rowOff>27879</xdr:rowOff>
    </xdr:to>
    <xdr:sp macro="" textlink="">
      <xdr:nvSpPr>
        <xdr:cNvPr id="47" name="TextBox 46">
          <a:extLst>
            <a:ext uri="{FF2B5EF4-FFF2-40B4-BE49-F238E27FC236}">
              <a16:creationId xmlns:a16="http://schemas.microsoft.com/office/drawing/2014/main" id="{960F6A96-41CE-DF7D-395E-B73EEB77FB8E}"/>
            </a:ext>
          </a:extLst>
        </xdr:cNvPr>
        <xdr:cNvSpPr txBox="1"/>
      </xdr:nvSpPr>
      <xdr:spPr>
        <a:xfrm>
          <a:off x="11606562" y="5426929"/>
          <a:ext cx="1542585" cy="204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aseline="0"/>
            <a:t>Bottom 5 (Low Turnover)</a:t>
          </a:r>
          <a:endParaRPr lang="en-IN" sz="1100"/>
        </a:p>
      </xdr:txBody>
    </xdr:sp>
    <xdr:clientData/>
  </xdr:twoCellAnchor>
  <xdr:twoCellAnchor>
    <xdr:from>
      <xdr:col>1</xdr:col>
      <xdr:colOff>927847</xdr:colOff>
      <xdr:row>36</xdr:row>
      <xdr:rowOff>89647</xdr:rowOff>
    </xdr:from>
    <xdr:to>
      <xdr:col>7</xdr:col>
      <xdr:colOff>98612</xdr:colOff>
      <xdr:row>47</xdr:row>
      <xdr:rowOff>161364</xdr:rowOff>
    </xdr:to>
    <xdr:sp macro="" textlink="">
      <xdr:nvSpPr>
        <xdr:cNvPr id="57" name="Rectangle: Rounded Corners 56">
          <a:extLst>
            <a:ext uri="{FF2B5EF4-FFF2-40B4-BE49-F238E27FC236}">
              <a16:creationId xmlns:a16="http://schemas.microsoft.com/office/drawing/2014/main" id="{8A359F62-D0F1-02EB-F2A1-AF0A992F8938}"/>
            </a:ext>
          </a:extLst>
        </xdr:cNvPr>
        <xdr:cNvSpPr/>
      </xdr:nvSpPr>
      <xdr:spPr>
        <a:xfrm>
          <a:off x="1994647" y="6736976"/>
          <a:ext cx="3285565" cy="2093259"/>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847166</xdr:colOff>
      <xdr:row>36</xdr:row>
      <xdr:rowOff>161366</xdr:rowOff>
    </xdr:from>
    <xdr:to>
      <xdr:col>7</xdr:col>
      <xdr:colOff>134472</xdr:colOff>
      <xdr:row>47</xdr:row>
      <xdr:rowOff>103094</xdr:rowOff>
    </xdr:to>
    <xdr:graphicFrame macro="">
      <xdr:nvGraphicFramePr>
        <xdr:cNvPr id="59" name="Chart 58">
          <a:extLst>
            <a:ext uri="{FF2B5EF4-FFF2-40B4-BE49-F238E27FC236}">
              <a16:creationId xmlns:a16="http://schemas.microsoft.com/office/drawing/2014/main" id="{A5B7B514-DD2A-47E1-9553-69EBC9F6A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xdr:col>
      <xdr:colOff>171847</xdr:colOff>
      <xdr:row>36</xdr:row>
      <xdr:rowOff>89647</xdr:rowOff>
    </xdr:from>
    <xdr:to>
      <xdr:col>11</xdr:col>
      <xdr:colOff>72000</xdr:colOff>
      <xdr:row>47</xdr:row>
      <xdr:rowOff>161364</xdr:rowOff>
    </xdr:to>
    <xdr:sp macro="" textlink="">
      <xdr:nvSpPr>
        <xdr:cNvPr id="62" name="Rectangle: Rounded Corners 61">
          <a:extLst>
            <a:ext uri="{FF2B5EF4-FFF2-40B4-BE49-F238E27FC236}">
              <a16:creationId xmlns:a16="http://schemas.microsoft.com/office/drawing/2014/main" id="{24B90200-35B1-45C5-E349-DE8AC7424C7A}"/>
            </a:ext>
          </a:extLst>
        </xdr:cNvPr>
        <xdr:cNvSpPr/>
      </xdr:nvSpPr>
      <xdr:spPr>
        <a:xfrm>
          <a:off x="5367847" y="6605647"/>
          <a:ext cx="2348153" cy="2051717"/>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135631</xdr:colOff>
      <xdr:row>36</xdr:row>
      <xdr:rowOff>109286</xdr:rowOff>
    </xdr:from>
    <xdr:to>
      <xdr:col>16</xdr:col>
      <xdr:colOff>62846</xdr:colOff>
      <xdr:row>47</xdr:row>
      <xdr:rowOff>181003</xdr:rowOff>
    </xdr:to>
    <xdr:sp macro="" textlink="">
      <xdr:nvSpPr>
        <xdr:cNvPr id="64" name="Rectangle: Rounded Corners 63">
          <a:extLst>
            <a:ext uri="{FF2B5EF4-FFF2-40B4-BE49-F238E27FC236}">
              <a16:creationId xmlns:a16="http://schemas.microsoft.com/office/drawing/2014/main" id="{692D2182-D326-B7FC-AAB1-EA32915A2D3A}"/>
            </a:ext>
          </a:extLst>
        </xdr:cNvPr>
        <xdr:cNvSpPr/>
      </xdr:nvSpPr>
      <xdr:spPr>
        <a:xfrm>
          <a:off x="7751703" y="6782678"/>
          <a:ext cx="2971287" cy="2102407"/>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156000</xdr:colOff>
      <xdr:row>36</xdr:row>
      <xdr:rowOff>89647</xdr:rowOff>
    </xdr:from>
    <xdr:to>
      <xdr:col>21</xdr:col>
      <xdr:colOff>432001</xdr:colOff>
      <xdr:row>47</xdr:row>
      <xdr:rowOff>161364</xdr:rowOff>
    </xdr:to>
    <xdr:sp macro="" textlink="">
      <xdr:nvSpPr>
        <xdr:cNvPr id="65" name="Rectangle: Rounded Corners 64">
          <a:extLst>
            <a:ext uri="{FF2B5EF4-FFF2-40B4-BE49-F238E27FC236}">
              <a16:creationId xmlns:a16="http://schemas.microsoft.com/office/drawing/2014/main" id="{083BE4F6-132F-FF36-316C-8B55E798C0D0}"/>
            </a:ext>
          </a:extLst>
        </xdr:cNvPr>
        <xdr:cNvSpPr/>
      </xdr:nvSpPr>
      <xdr:spPr>
        <a:xfrm>
          <a:off x="10860000" y="6605647"/>
          <a:ext cx="3336001" cy="2051717"/>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264000</xdr:colOff>
      <xdr:row>39</xdr:row>
      <xdr:rowOff>42000</xdr:rowOff>
    </xdr:from>
    <xdr:to>
      <xdr:col>21</xdr:col>
      <xdr:colOff>340200</xdr:colOff>
      <xdr:row>47</xdr:row>
      <xdr:rowOff>49620</xdr:rowOff>
    </xdr:to>
    <xdr:pic>
      <xdr:nvPicPr>
        <xdr:cNvPr id="67" name="Picture 66">
          <a:extLst>
            <a:ext uri="{FF2B5EF4-FFF2-40B4-BE49-F238E27FC236}">
              <a16:creationId xmlns:a16="http://schemas.microsoft.com/office/drawing/2014/main" id="{F724B713-1B05-D14C-0F31-896FEE6D38CF}"/>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0968000" y="7098000"/>
          <a:ext cx="3136200" cy="144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318000</xdr:colOff>
      <xdr:row>37</xdr:row>
      <xdr:rowOff>66000</xdr:rowOff>
    </xdr:from>
    <xdr:to>
      <xdr:col>21</xdr:col>
      <xdr:colOff>24000</xdr:colOff>
      <xdr:row>38</xdr:row>
      <xdr:rowOff>138000</xdr:rowOff>
    </xdr:to>
    <xdr:sp macro="" textlink="">
      <xdr:nvSpPr>
        <xdr:cNvPr id="68" name="TextBox 67">
          <a:extLst>
            <a:ext uri="{FF2B5EF4-FFF2-40B4-BE49-F238E27FC236}">
              <a16:creationId xmlns:a16="http://schemas.microsoft.com/office/drawing/2014/main" id="{09DC300B-B728-D792-0AF3-242DE1826D89}"/>
            </a:ext>
          </a:extLst>
        </xdr:cNvPr>
        <xdr:cNvSpPr txBox="1"/>
      </xdr:nvSpPr>
      <xdr:spPr>
        <a:xfrm>
          <a:off x="11022000" y="6762000"/>
          <a:ext cx="2766000" cy="25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Regional performance</a:t>
          </a:r>
          <a:r>
            <a:rPr lang="en-IN" sz="1200" b="1" baseline="0"/>
            <a:t> summary</a:t>
          </a:r>
          <a:endParaRPr lang="en-IN" sz="1200" b="1"/>
        </a:p>
      </xdr:txBody>
    </xdr:sp>
    <xdr:clientData/>
  </xdr:twoCellAnchor>
  <xdr:twoCellAnchor>
    <xdr:from>
      <xdr:col>7</xdr:col>
      <xdr:colOff>286732</xdr:colOff>
      <xdr:row>37</xdr:row>
      <xdr:rowOff>11784</xdr:rowOff>
    </xdr:from>
    <xdr:to>
      <xdr:col>11</xdr:col>
      <xdr:colOff>19639</xdr:colOff>
      <xdr:row>38</xdr:row>
      <xdr:rowOff>141402</xdr:rowOff>
    </xdr:to>
    <xdr:sp macro="" textlink="">
      <xdr:nvSpPr>
        <xdr:cNvPr id="70" name="TextBox 69">
          <a:extLst>
            <a:ext uri="{FF2B5EF4-FFF2-40B4-BE49-F238E27FC236}">
              <a16:creationId xmlns:a16="http://schemas.microsoft.com/office/drawing/2014/main" id="{A1417A43-F193-817A-02D8-3E2E77C22F46}"/>
            </a:ext>
          </a:extLst>
        </xdr:cNvPr>
        <xdr:cNvSpPr txBox="1"/>
      </xdr:nvSpPr>
      <xdr:spPr>
        <a:xfrm>
          <a:off x="5467546" y="6869784"/>
          <a:ext cx="2168165" cy="31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 Suppliers by inventory value</a:t>
          </a:r>
        </a:p>
      </xdr:txBody>
    </xdr:sp>
    <xdr:clientData/>
  </xdr:twoCellAnchor>
  <xdr:twoCellAnchor>
    <xdr:from>
      <xdr:col>11</xdr:col>
      <xdr:colOff>184608</xdr:colOff>
      <xdr:row>38</xdr:row>
      <xdr:rowOff>82485</xdr:rowOff>
    </xdr:from>
    <xdr:to>
      <xdr:col>16</xdr:col>
      <xdr:colOff>35351</xdr:colOff>
      <xdr:row>47</xdr:row>
      <xdr:rowOff>82485</xdr:rowOff>
    </xdr:to>
    <xdr:graphicFrame macro="">
      <xdr:nvGraphicFramePr>
        <xdr:cNvPr id="72" name="Chart 71">
          <a:extLst>
            <a:ext uri="{FF2B5EF4-FFF2-40B4-BE49-F238E27FC236}">
              <a16:creationId xmlns:a16="http://schemas.microsoft.com/office/drawing/2014/main" id="{B0935C33-AD62-4E99-AB6F-20381530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318155</xdr:colOff>
      <xdr:row>37</xdr:row>
      <xdr:rowOff>11784</xdr:rowOff>
    </xdr:from>
    <xdr:to>
      <xdr:col>15</xdr:col>
      <xdr:colOff>459557</xdr:colOff>
      <xdr:row>38</xdr:row>
      <xdr:rowOff>141402</xdr:rowOff>
    </xdr:to>
    <xdr:sp macro="" textlink="">
      <xdr:nvSpPr>
        <xdr:cNvPr id="73" name="TextBox 72">
          <a:extLst>
            <a:ext uri="{FF2B5EF4-FFF2-40B4-BE49-F238E27FC236}">
              <a16:creationId xmlns:a16="http://schemas.microsoft.com/office/drawing/2014/main" id="{D91AF6A2-0F76-02E3-398C-FDE22DDF8C82}"/>
            </a:ext>
          </a:extLst>
        </xdr:cNvPr>
        <xdr:cNvSpPr txBox="1"/>
      </xdr:nvSpPr>
      <xdr:spPr>
        <a:xfrm>
          <a:off x="7934227" y="6869784"/>
          <a:ext cx="2576660" cy="31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Cost price VS Selling price</a:t>
          </a:r>
        </a:p>
      </xdr:txBody>
    </xdr:sp>
    <xdr:clientData/>
  </xdr:twoCellAnchor>
  <xdr:twoCellAnchor editAs="oneCell">
    <xdr:from>
      <xdr:col>0</xdr:col>
      <xdr:colOff>244059</xdr:colOff>
      <xdr:row>10</xdr:row>
      <xdr:rowOff>33642</xdr:rowOff>
    </xdr:from>
    <xdr:to>
      <xdr:col>1</xdr:col>
      <xdr:colOff>587495</xdr:colOff>
      <xdr:row>18</xdr:row>
      <xdr:rowOff>11634</xdr:rowOff>
    </xdr:to>
    <mc:AlternateContent xmlns:mc="http://schemas.openxmlformats.org/markup-compatibility/2006">
      <mc:Choice xmlns:a14="http://schemas.microsoft.com/office/drawing/2010/main" Requires="a14">
        <xdr:graphicFrame macro="">
          <xdr:nvGraphicFramePr>
            <xdr:cNvPr id="63" name="Region 1">
              <a:extLst>
                <a:ext uri="{FF2B5EF4-FFF2-40B4-BE49-F238E27FC236}">
                  <a16:creationId xmlns:a16="http://schemas.microsoft.com/office/drawing/2014/main" id="{E0601C9C-4F6E-4674-9A8F-227C4E5FA4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44059" y="1930866"/>
              <a:ext cx="1416456" cy="1470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221800</xdr:colOff>
      <xdr:row>18</xdr:row>
      <xdr:rowOff>67880</xdr:rowOff>
    </xdr:from>
    <xdr:to>
      <xdr:col>1</xdr:col>
      <xdr:colOff>581681</xdr:colOff>
      <xdr:row>26</xdr:row>
      <xdr:rowOff>34901</xdr:rowOff>
    </xdr:to>
    <mc:AlternateContent xmlns:mc="http://schemas.openxmlformats.org/markup-compatibility/2006">
      <mc:Choice xmlns:a14="http://schemas.microsoft.com/office/drawing/2010/main" Requires="a14">
        <xdr:graphicFrame macro="">
          <xdr:nvGraphicFramePr>
            <xdr:cNvPr id="66" name="Category 1">
              <a:extLst>
                <a:ext uri="{FF2B5EF4-FFF2-40B4-BE49-F238E27FC236}">
                  <a16:creationId xmlns:a16="http://schemas.microsoft.com/office/drawing/2014/main" id="{A3A9CD7E-DC3D-414E-AC6A-1CD90B7E426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1800" y="3458002"/>
              <a:ext cx="1432901" cy="1459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238612</xdr:colOff>
      <xdr:row>26</xdr:row>
      <xdr:rowOff>87251</xdr:rowOff>
    </xdr:from>
    <xdr:to>
      <xdr:col>1</xdr:col>
      <xdr:colOff>593314</xdr:colOff>
      <xdr:row>33</xdr:row>
      <xdr:rowOff>157052</xdr:rowOff>
    </xdr:to>
    <mc:AlternateContent xmlns:mc="http://schemas.openxmlformats.org/markup-compatibility/2006">
      <mc:Choice xmlns:a14="http://schemas.microsoft.com/office/drawing/2010/main" Requires="a14">
        <xdr:graphicFrame macro="">
          <xdr:nvGraphicFramePr>
            <xdr:cNvPr id="71" name="Product_Name 1">
              <a:extLst>
                <a:ext uri="{FF2B5EF4-FFF2-40B4-BE49-F238E27FC236}">
                  <a16:creationId xmlns:a16="http://schemas.microsoft.com/office/drawing/2014/main" id="{3337DF7B-E896-4031-985B-1B354A17CC6B}"/>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238612" y="4970271"/>
              <a:ext cx="1427722" cy="137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6991</xdr:colOff>
      <xdr:row>22</xdr:row>
      <xdr:rowOff>55927</xdr:rowOff>
    </xdr:from>
    <xdr:to>
      <xdr:col>16</xdr:col>
      <xdr:colOff>552276</xdr:colOff>
      <xdr:row>35</xdr:row>
      <xdr:rowOff>139816</xdr:rowOff>
    </xdr:to>
    <xdr:graphicFrame macro="">
      <xdr:nvGraphicFramePr>
        <xdr:cNvPr id="75" name="Chart 74">
          <a:extLst>
            <a:ext uri="{FF2B5EF4-FFF2-40B4-BE49-F238E27FC236}">
              <a16:creationId xmlns:a16="http://schemas.microsoft.com/office/drawing/2014/main" id="{38CDFBC2-3DF7-4AD9-9A6C-9EECF4DC5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7</xdr:col>
      <xdr:colOff>280737</xdr:colOff>
      <xdr:row>40</xdr:row>
      <xdr:rowOff>0</xdr:rowOff>
    </xdr:from>
    <xdr:to>
      <xdr:col>10</xdr:col>
      <xdr:colOff>601579</xdr:colOff>
      <xdr:row>47</xdr:row>
      <xdr:rowOff>7620</xdr:rowOff>
    </xdr:to>
    <xdr:pic>
      <xdr:nvPicPr>
        <xdr:cNvPr id="76" name="Picture 75">
          <a:extLst>
            <a:ext uri="{FF2B5EF4-FFF2-40B4-BE49-F238E27FC236}">
              <a16:creationId xmlns:a16="http://schemas.microsoft.com/office/drawing/2014/main" id="{F6B47947-7120-9C1D-8B79-304EB1E4CEC6}"/>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5464342" y="7249026"/>
          <a:ext cx="2155658" cy="1270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186137</xdr:colOff>
      <xdr:row>34</xdr:row>
      <xdr:rowOff>162870</xdr:rowOff>
    </xdr:from>
    <xdr:to>
      <xdr:col>1</xdr:col>
      <xdr:colOff>657297</xdr:colOff>
      <xdr:row>47</xdr:row>
      <xdr:rowOff>52351</xdr:rowOff>
    </xdr:to>
    <xdr:sp macro="" textlink="">
      <xdr:nvSpPr>
        <xdr:cNvPr id="77" name="TextBox 76">
          <a:extLst>
            <a:ext uri="{FF2B5EF4-FFF2-40B4-BE49-F238E27FC236}">
              <a16:creationId xmlns:a16="http://schemas.microsoft.com/office/drawing/2014/main" id="{FE0A8E97-1F20-3E68-A087-387195EA22BD}"/>
            </a:ext>
          </a:extLst>
        </xdr:cNvPr>
        <xdr:cNvSpPr txBox="1"/>
      </xdr:nvSpPr>
      <xdr:spPr>
        <a:xfrm>
          <a:off x="186137" y="6328672"/>
          <a:ext cx="1535633" cy="2233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Times New Roman" panose="02020603050405020304" pitchFamily="18" charset="0"/>
              <a:cs typeface="Times New Roman" panose="02020603050405020304" pitchFamily="18" charset="0"/>
            </a:rPr>
            <a:t>Key Business Insights</a:t>
          </a:r>
        </a:p>
        <a:p>
          <a:endParaRPr lang="en-IN" sz="1200">
            <a:latin typeface="Times New Roman" panose="02020603050405020304" pitchFamily="18" charset="0"/>
            <a:cs typeface="Times New Roman" panose="02020603050405020304" pitchFamily="18" charset="0"/>
          </a:endParaRPr>
        </a:p>
        <a:p>
          <a:r>
            <a:rPr lang="en-IN" sz="1100">
              <a:latin typeface="Times New Roman" panose="02020603050405020304" pitchFamily="18" charset="0"/>
              <a:cs typeface="Times New Roman" panose="02020603050405020304" pitchFamily="18" charset="0"/>
            </a:rPr>
            <a:t>Top Region: </a:t>
          </a:r>
          <a:r>
            <a:rPr lang="en-IN" sz="1100" b="1">
              <a:latin typeface="Times New Roman" panose="02020603050405020304" pitchFamily="18" charset="0"/>
              <a:cs typeface="Times New Roman" panose="02020603050405020304" pitchFamily="18" charset="0"/>
            </a:rPr>
            <a:t>Bangalore</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Top Product: </a:t>
          </a:r>
          <a:r>
            <a:rPr lang="en-IN" sz="1100" b="1">
              <a:latin typeface="Times New Roman" panose="02020603050405020304" pitchFamily="18" charset="0"/>
              <a:cs typeface="Times New Roman" panose="02020603050405020304" pitchFamily="18" charset="0"/>
            </a:rPr>
            <a:t>Fruit &amp; Nut Chocolate</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Top Supplier: </a:t>
          </a:r>
          <a:r>
            <a:rPr lang="en-IN" sz="1100" b="1">
              <a:latin typeface="Times New Roman" panose="02020603050405020304" pitchFamily="18" charset="0"/>
              <a:cs typeface="Times New Roman" panose="02020603050405020304" pitchFamily="18" charset="0"/>
            </a:rPr>
            <a:t>ABC Traders</a:t>
          </a:r>
        </a:p>
        <a:p>
          <a:r>
            <a:rPr lang="en-IN" sz="1100">
              <a:latin typeface="Times New Roman" panose="02020603050405020304" pitchFamily="18" charset="0"/>
              <a:cs typeface="Times New Roman" panose="02020603050405020304" pitchFamily="18" charset="0"/>
            </a:rPr>
            <a:t> Profit Margin: </a:t>
          </a:r>
          <a:r>
            <a:rPr lang="en-IN" sz="1100" b="1">
              <a:latin typeface="Times New Roman" panose="02020603050405020304" pitchFamily="18" charset="0"/>
              <a:cs typeface="Times New Roman" panose="02020603050405020304" pitchFamily="18" charset="0"/>
            </a:rPr>
            <a:t>46%</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Focus Area: </a:t>
          </a:r>
          <a:r>
            <a:rPr lang="en-IN" sz="1100" b="1">
              <a:latin typeface="Times New Roman" panose="02020603050405020304" pitchFamily="18" charset="0"/>
              <a:cs typeface="Times New Roman" panose="02020603050405020304" pitchFamily="18" charset="0"/>
            </a:rPr>
            <a:t>Low-turnover products</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Action: </a:t>
          </a:r>
          <a:r>
            <a:rPr lang="en-IN" sz="1100" b="1">
              <a:latin typeface="Times New Roman" panose="02020603050405020304" pitchFamily="18" charset="0"/>
              <a:cs typeface="Times New Roman" panose="02020603050405020304" pitchFamily="18" charset="0"/>
            </a:rPr>
            <a:t>Replenish low-stock</a:t>
          </a:r>
          <a:r>
            <a:rPr lang="en-IN" sz="1100" b="1" baseline="0">
              <a:latin typeface="Times New Roman" panose="02020603050405020304" pitchFamily="18" charset="0"/>
              <a:cs typeface="Times New Roman" panose="02020603050405020304" pitchFamily="18" charset="0"/>
            </a:rPr>
            <a:t> f</a:t>
          </a:r>
          <a:r>
            <a:rPr lang="en-IN" sz="1100" b="1">
              <a:latin typeface="Times New Roman" panose="02020603050405020304" pitchFamily="18" charset="0"/>
              <a:cs typeface="Times New Roman" panose="02020603050405020304" pitchFamily="18" charset="0"/>
            </a:rPr>
            <a:t>ast-moving products</a:t>
          </a:r>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0</xdr:col>
      <xdr:colOff>164352</xdr:colOff>
      <xdr:row>48</xdr:row>
      <xdr:rowOff>104588</xdr:rowOff>
    </xdr:from>
    <xdr:to>
      <xdr:col>21</xdr:col>
      <xdr:colOff>373529</xdr:colOff>
      <xdr:row>50</xdr:row>
      <xdr:rowOff>59765</xdr:rowOff>
    </xdr:to>
    <xdr:sp macro="" textlink="">
      <xdr:nvSpPr>
        <xdr:cNvPr id="80" name="TextBox 79">
          <a:extLst>
            <a:ext uri="{FF2B5EF4-FFF2-40B4-BE49-F238E27FC236}">
              <a16:creationId xmlns:a16="http://schemas.microsoft.com/office/drawing/2014/main" id="{A0F5CC2B-9F59-8E04-B9D8-058C37921214}"/>
            </a:ext>
          </a:extLst>
        </xdr:cNvPr>
        <xdr:cNvSpPr txBox="1"/>
      </xdr:nvSpPr>
      <xdr:spPr>
        <a:xfrm>
          <a:off x="164352" y="8748059"/>
          <a:ext cx="13984942"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Created by: Vrushali Sawant</a:t>
          </a:r>
          <a:r>
            <a:rPr lang="en-IN" sz="1100" baseline="0"/>
            <a:t>                                                                                            						  </a:t>
          </a:r>
          <a:r>
            <a:rPr lang="en-IN" sz="1100"/>
            <a:t>Tools Used: Excel, Pivot Tables, Data Visualization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27</xdr:col>
      <xdr:colOff>567928</xdr:colOff>
      <xdr:row>4</xdr:row>
      <xdr:rowOff>160972</xdr:rowOff>
    </xdr:from>
    <xdr:to>
      <xdr:col>29</xdr:col>
      <xdr:colOff>1018184</xdr:colOff>
      <xdr:row>18</xdr:row>
      <xdr:rowOff>44291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03A9B0A-5967-095C-0929-5AD42402D7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777552" y="878148"/>
              <a:ext cx="1821856" cy="2393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891988</xdr:colOff>
      <xdr:row>17</xdr:row>
      <xdr:rowOff>160020</xdr:rowOff>
    </xdr:from>
    <xdr:to>
      <xdr:col>26</xdr:col>
      <xdr:colOff>1528482</xdr:colOff>
      <xdr:row>31</xdr:row>
      <xdr:rowOff>116877</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770092B6-FB23-8BA2-62D1-F045B6E1F6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259800" y="3208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560294</xdr:colOff>
      <xdr:row>17</xdr:row>
      <xdr:rowOff>160020</xdr:rowOff>
    </xdr:from>
    <xdr:to>
      <xdr:col>26</xdr:col>
      <xdr:colOff>1196788</xdr:colOff>
      <xdr:row>31</xdr:row>
      <xdr:rowOff>116877</xdr:rowOff>
    </xdr:to>
    <mc:AlternateContent xmlns:mc="http://schemas.openxmlformats.org/markup-compatibility/2006">
      <mc:Choice xmlns:a14="http://schemas.microsoft.com/office/drawing/2010/main" Requires="a14">
        <xdr:graphicFrame macro="">
          <xdr:nvGraphicFramePr>
            <xdr:cNvPr id="7" name="Product_Name">
              <a:extLst>
                <a:ext uri="{FF2B5EF4-FFF2-40B4-BE49-F238E27FC236}">
                  <a16:creationId xmlns:a16="http://schemas.microsoft.com/office/drawing/2014/main" id="{40E107BE-001A-9B97-54D7-87FE533BC11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20928106" y="3208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780216319443" createdVersion="8" refreshedVersion="8" minRefreshableVersion="3" recordCount="500" xr:uid="{BA68D2FE-29E6-4148-94C8-197F85B0FEE9}">
  <cacheSource type="worksheet">
    <worksheetSource ref="A1:M501" sheet="Sales_Data"/>
  </cacheSource>
  <cacheFields count="13">
    <cacheField name="Order_ID" numFmtId="0">
      <sharedItems count="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haredItems>
    </cacheField>
    <cacheField name="Order_Date" numFmtId="0">
      <sharedItems/>
    </cacheField>
    <cacheField name="Customer_Name" numFmtId="0">
      <sharedItems/>
    </cacheField>
    <cacheField name="Product_ID" numFmtId="0">
      <sharedItems/>
    </cacheField>
    <cacheField name="Product_Name" numFmtId="0">
      <sharedItems/>
    </cacheField>
    <cacheField name="Category" numFmtId="0">
      <sharedItems count="5">
        <s v="Cookies"/>
        <s v="Bars"/>
        <s v="Snacks"/>
        <s v="Premium"/>
        <s v="Festive"/>
      </sharedItems>
    </cacheField>
    <cacheField name="Quantity_Sold" numFmtId="0">
      <sharedItems containsSemiMixedTypes="0" containsString="0" containsNumber="1" containsInteger="1" minValue="1" maxValue="15"/>
    </cacheField>
    <cacheField name="Selling_Price" numFmtId="0">
      <sharedItems containsSemiMixedTypes="0" containsString="0" containsNumber="1" containsInteger="1" minValue="37" maxValue="199"/>
    </cacheField>
    <cacheField name="Discount" numFmtId="0">
      <sharedItems containsSemiMixedTypes="0" containsString="0" containsNumber="1" containsInteger="1" minValue="0" maxValue="15"/>
    </cacheField>
    <cacheField name="Total_Sales" numFmtId="0">
      <sharedItems containsSemiMixedTypes="0" containsString="0" containsNumber="1" minValue="31.45" maxValue="2786" count="400">
        <n v="128.69999999999999"/>
        <n v="1173.25"/>
        <n v="1760"/>
        <n v="151"/>
        <n v="657"/>
        <n v="831.6"/>
        <n v="2085"/>
        <n v="513.4"/>
        <n v="1001"/>
        <n v="1455.3"/>
        <n v="1246"/>
        <n v="286.89999999999998"/>
        <n v="992.8"/>
        <n v="1891.45"/>
        <n v="81.7"/>
        <n v="1106"/>
        <n v="1435.5"/>
        <n v="171"/>
        <n v="1316.7"/>
        <n v="1984.5"/>
        <n v="468"/>
        <n v="199"/>
        <n v="896"/>
        <n v="1303.4000000000001"/>
        <n v="916.3"/>
        <n v="816"/>
        <n v="1360.8"/>
        <n v="453"/>
        <n v="155.80000000000001"/>
        <n v="740"/>
        <n v="592.79999999999995"/>
        <n v="356.4"/>
        <n v="387.6"/>
        <n v="687.8"/>
        <n v="1093.95"/>
        <n v="1368"/>
        <n v="741"/>
        <n v="459"/>
        <n v="1008"/>
        <n v="251.6"/>
        <n v="1215"/>
        <n v="327.60000000000002"/>
        <n v="979.2"/>
        <n v="841.5"/>
        <n v="572"/>
        <n v="378.25"/>
        <n v="1109.25"/>
        <n v="526.5"/>
        <n v="1204"/>
        <n v="105.45"/>
        <n v="1314"/>
        <n v="769.5"/>
        <n v="2172"/>
        <n v="1147.5"/>
        <n v="1848.7"/>
        <n v="952"/>
        <n v="705.6"/>
        <n v="182.4"/>
        <n v="110.5"/>
        <n v="121.5"/>
        <n v="1152"/>
        <n v="2114"/>
        <n v="520"/>
        <n v="833"/>
        <n v="229.5"/>
        <n v="980"/>
        <n v="676.6"/>
        <n v="1099.1500000000001"/>
        <n v="839.8"/>
        <n v="340"/>
        <n v="1350"/>
        <n v="1544.4"/>
        <n v="1193.4000000000001"/>
        <n v="171.95"/>
        <n v="2030"/>
        <n v="1971"/>
        <n v="2310"/>
        <n v="121.6"/>
        <n v="1111.5"/>
        <n v="543.4"/>
        <n v="1275.3"/>
        <n v="1791"/>
        <n v="1336.5"/>
        <n v="1410.75"/>
        <n v="168.3"/>
        <n v="567.15"/>
        <n v="1653"/>
        <n v="1260"/>
        <n v="186.2"/>
        <n v="864.5"/>
        <n v="1268.25"/>
        <n v="85"/>
        <n v="715"/>
        <n v="234"/>
        <n v="395.2"/>
        <n v="1124.55"/>
        <n v="489.6"/>
        <n v="827.05"/>
        <n v="159.6"/>
        <n v="1872"/>
        <n v="1950"/>
        <n v="632"/>
        <n v="1094.4000000000001"/>
        <n v="679.25"/>
        <n v="576"/>
        <n v="280"/>
        <n v="190"/>
        <n v="1372"/>
        <n v="1716"/>
        <n v="2175"/>
        <n v="1262.25"/>
        <n v="220.15"/>
        <n v="134.30000000000001"/>
        <n v="475"/>
        <n v="1667.25"/>
        <n v="616"/>
        <n v="399.6"/>
        <n v="288"/>
        <n v="1740"/>
        <n v="1230.8"/>
        <n v="1224"/>
        <n v="885.6"/>
        <n v="1620"/>
        <n v="1051.2"/>
        <n v="1000"/>
        <n v="1547"/>
        <n v="945"/>
        <n v="107.1"/>
        <n v="480"/>
        <n v="199.8"/>
        <n v="617.5"/>
        <n v="722"/>
        <n v="1142.4000000000001"/>
        <n v="1074.4000000000001"/>
        <n v="1330"/>
        <n v="1303.2"/>
        <n v="256.5"/>
        <n v="176.4"/>
        <n v="452"/>
        <n v="545"/>
        <n v="646"/>
        <n v="1522.35"/>
        <n v="310.64999999999998"/>
        <n v="1904"/>
        <n v="103.55"/>
        <n v="339"/>
        <n v="907.8"/>
        <n v="1168.5"/>
        <n v="270"/>
        <n v="1630.2"/>
        <n v="1267.2"/>
        <n v="1285.2"/>
        <n v="1216"/>
        <n v="1915.2"/>
        <n v="1003.2"/>
        <n v="1083"/>
        <n v="999.6"/>
        <n v="138.6"/>
        <n v="810"/>
        <n v="497.25"/>
        <n v="1121.4000000000001"/>
        <n v="1058.4000000000001"/>
        <n v="1706.4"/>
        <n v="326.8"/>
        <n v="1579.5"/>
        <n v="902"/>
        <n v="384"/>
        <n v="1360"/>
        <n v="696.6"/>
        <n v="145"/>
        <n v="1356"/>
        <n v="107.35"/>
        <n v="444.6"/>
        <n v="702"/>
        <n v="2579.25"/>
        <n v="1946"/>
        <n v="1965.6"/>
        <n v="1200"/>
        <n v="242.25"/>
        <n v="385.05"/>
        <n v="362.95"/>
        <n v="1096.5"/>
        <n v="352.8"/>
        <n v="1377"/>
        <n v="1696.5"/>
        <n v="815.4"/>
        <n v="532.79999999999995"/>
        <n v="923.1"/>
        <n v="456"/>
        <n v="490.2"/>
        <n v="904.4"/>
        <n v="1040"/>
        <n v="121.55"/>
        <n v="1485"/>
        <n v="511.7"/>
        <n v="1120"/>
        <n v="1140"/>
        <n v="912"/>
        <n v="418.95"/>
        <n v="756.5"/>
        <n v="103.7"/>
        <n v="31.45"/>
        <n v="1102"/>
        <n v="2786"/>
        <n v="684"/>
        <n v="744.6"/>
        <n v="811.3"/>
        <n v="147"/>
        <n v="136.80000000000001"/>
        <n v="429"/>
        <n v="1864.85"/>
        <n v="1190.7"/>
        <n v="599.4"/>
        <n v="1234.8"/>
        <n v="928.8"/>
        <n v="512"/>
        <n v="994.5"/>
        <n v="1440"/>
        <n v="1045.5"/>
        <n v="2160"/>
        <n v="312"/>
        <n v="364.5"/>
        <n v="1146.5999999999999"/>
        <n v="1080"/>
        <n v="856.8"/>
        <n v="1591.2"/>
        <n v="1283.5"/>
        <n v="394.2"/>
        <n v="384.75"/>
        <n v="1520"/>
        <n v="836.4"/>
        <n v="1215.5"/>
        <n v="654.5"/>
        <n v="288.8"/>
        <n v="280.8"/>
        <n v="604.79999999999995"/>
        <n v="1188.45"/>
        <n v="295.2"/>
        <n v="1580"/>
        <n v="950.4"/>
        <n v="260"/>
        <n v="2520"/>
        <n v="1404"/>
        <n v="2268.6"/>
        <n v="333.2"/>
        <n v="571.20000000000005"/>
        <n v="869.25"/>
        <n v="1626.3"/>
        <n v="1566"/>
        <n v="146.30000000000001"/>
        <n v="957.6"/>
        <n v="2194.5"/>
        <n v="1154.25"/>
        <n v="345.95"/>
        <n v="845.75"/>
        <n v="99"/>
        <n v="980.4"/>
        <n v="2280"/>
        <n v="2016"/>
        <n v="143.44999999999999"/>
        <n v="884"/>
        <n v="623"/>
        <n v="518"/>
        <n v="622.20000000000005"/>
        <n v="1512"/>
        <n v="792"/>
        <n v="1930.5"/>
        <n v="904"/>
        <n v="144.4"/>
        <n v="288.14999999999998"/>
        <n v="695.4"/>
        <n v="1810"/>
        <n v="945.2"/>
        <n v="772.2"/>
        <n v="1482"/>
        <n v="1400"/>
        <n v="138.69999999999999"/>
        <n v="1926.6"/>
        <n v="308.75"/>
        <n v="487.9"/>
        <n v="846.45"/>
        <n v="1632"/>
        <n v="245.1"/>
        <n v="980.1"/>
        <n v="900"/>
        <n v="1111.8"/>
        <n v="946"/>
        <n v="77.400000000000006"/>
        <n v="518.4"/>
        <n v="1026"/>
        <n v="2388"/>
        <n v="1466.1"/>
        <n v="1235"/>
        <n v="552.5"/>
        <n v="494"/>
        <n v="432.25"/>
        <n v="81.599999999999994"/>
        <n v="1166.2"/>
        <n v="607.5"/>
        <n v="327"/>
        <n v="282.14999999999998"/>
        <n v="1458.6"/>
        <n v="1609.3"/>
        <n v="405.65"/>
        <n v="1824"/>
        <n v="1358.5"/>
        <n v="807.5"/>
        <n v="862.75"/>
        <n v="981"/>
        <n v="960"/>
        <n v="2235.35"/>
        <n v="51.85"/>
        <n v="1071"/>
        <n v="1723.8"/>
        <n v="1470"/>
        <n v="2079.5500000000002"/>
        <n v="988"/>
        <n v="2240"/>
        <n v="1090.5999999999999"/>
        <n v="1170"/>
        <n v="972"/>
        <n v="396.15"/>
        <n v="240.3"/>
        <n v="207.4"/>
        <n v="1276.8"/>
        <n v="1479"/>
        <n v="214.7"/>
        <n v="442"/>
        <n v="83.3"/>
        <n v="1469.65"/>
        <n v="1036.8"/>
        <n v="574"/>
        <n v="338.2"/>
        <n v="1190"/>
        <n v="157.25"/>
        <n v="492"/>
        <n v="492.1"/>
        <n v="624.75"/>
        <n v="283.05"/>
        <n v="364.65"/>
        <n v="302.60000000000002"/>
        <n v="1249.5"/>
        <n v="701.1"/>
        <n v="210.9"/>
        <n v="1060.8"/>
        <n v="962"/>
        <n v="817"/>
        <n v="1423.8"/>
        <n v="1344"/>
        <n v="555.9"/>
        <n v="415.8"/>
        <n v="588"/>
        <n v="2184"/>
        <n v="1100"/>
        <n v="130.5"/>
        <n v="843.6"/>
        <n v="565.25"/>
        <n v="640"/>
        <n v="1668.55"/>
        <n v="253.65"/>
        <n v="1430"/>
        <n v="1755"/>
        <n v="268.60000000000002"/>
        <n v="271.8"/>
        <n v="513"/>
        <n v="407"/>
        <n v="720"/>
        <n v="114.75"/>
        <n v="500.4"/>
        <n v="2212"/>
        <n v="226.1"/>
        <n v="779"/>
        <n v="931"/>
        <n v="1123.2"/>
        <n v="1587.6"/>
        <n v="185"/>
        <n v="384.2"/>
        <n v="1375.6"/>
        <n v="416.5"/>
        <n v="1155.1500000000001"/>
        <n v="855"/>
        <n v="165.75"/>
        <n v="35.15"/>
        <n v="770"/>
        <n v="2153.9"/>
        <n v="1037.4000000000001"/>
        <n v="716.4"/>
        <n v="297"/>
        <n v="137.75"/>
        <n v="265.2"/>
        <n v="76.5"/>
        <n v="1501.2"/>
        <n v="617.4"/>
        <n v="1990.8"/>
        <n v="1440.75"/>
        <n v="476"/>
        <n v="631.75"/>
        <n v="279.3"/>
        <n v="714"/>
        <n v="80.75"/>
      </sharedItems>
    </cacheField>
    <cacheField name="Region" numFmtId="0">
      <sharedItems count="6">
        <s v="Delhi"/>
        <s v="Mumbai"/>
        <s v="Chennai"/>
        <s v="Bangalore"/>
        <s v="Pune"/>
        <s v="Hyderabad"/>
      </sharedItems>
    </cacheField>
    <cacheField name="Month" numFmtId="0">
      <sharedItems count="6">
        <s v="Jun"/>
        <s v="Apr"/>
        <s v="Feb"/>
        <s v="Jan"/>
        <s v="Mar"/>
        <s v="May"/>
      </sharedItems>
    </cacheField>
    <cacheField name="Profit" numFmtId="164">
      <sharedItems containsSemiMixedTypes="0" containsString="0" containsNumber="1" containsInteger="1" minValue="20" maxValue="1330" count="230">
        <n v="42"/>
        <n v="962"/>
        <n v="605"/>
        <n v="53"/>
        <n v="250"/>
        <n v="348"/>
        <n v="1050"/>
        <n v="212"/>
        <n v="294"/>
        <n v="946"/>
        <n v="910"/>
        <n v="106"/>
        <n v="400"/>
        <n v="693"/>
        <n v="20"/>
        <n v="665"/>
        <n v="902"/>
        <n v="62"/>
        <n v="522"/>
        <n v="1290"/>
        <n v="189"/>
        <n v="93"/>
        <n v="371"/>
        <n v="308"/>
        <n v="242"/>
        <n v="396"/>
        <n v="495"/>
        <n v="159"/>
        <n v="80"/>
        <n v="280"/>
        <n v="252"/>
        <n v="96"/>
        <n v="180"/>
        <n v="312"/>
        <n v="360"/>
        <n v="270"/>
        <n v="186"/>
        <n v="784"/>
        <n v="112"/>
        <n v="387"/>
        <n v="273"/>
        <n v="477"/>
        <n v="240"/>
        <n v="168"/>
        <n v="325"/>
        <n v="738"/>
        <n v="198"/>
        <n v="78"/>
        <n v="450"/>
        <n v="258"/>
        <n v="756"/>
        <n v="465"/>
        <n v="980"/>
        <n v="385"/>
        <n v="464"/>
        <n v="48"/>
        <n v="44"/>
        <n v="288"/>
        <n v="742"/>
        <n v="329"/>
        <n v="160"/>
        <n v="686"/>
        <n v="372"/>
        <n v="845"/>
        <n v="390"/>
        <n v="88"/>
        <n v="800"/>
        <n v="567"/>
        <n v="63"/>
        <n v="1148"/>
        <n v="750"/>
        <n v="870"/>
        <n v="405"/>
        <n v="715"/>
        <n v="930"/>
        <n v="473"/>
        <n v="279"/>
        <n v="984"/>
        <n v="882"/>
        <n v="116"/>
        <n v="975"/>
        <n v="22"/>
        <n v="210"/>
        <n v="1140"/>
        <n v="774"/>
        <n v="456"/>
        <n v="490"/>
        <n v="55"/>
        <n v="675"/>
        <n v="380"/>
        <n v="265"/>
        <n v="196"/>
        <n v="148"/>
        <n v="1230"/>
        <n v="880"/>
        <n v="182"/>
        <n v="95"/>
        <n v="110"/>
        <n v="1040"/>
        <n v="232"/>
        <n v="72"/>
        <n v="504"/>
        <n v="594"/>
        <n v="480"/>
        <n v="960"/>
        <n v="220"/>
        <n v="630"/>
        <n v="301"/>
        <n v="47"/>
        <n v="165"/>
        <n v="156"/>
        <n v="300"/>
        <n v="336"/>
        <n v="176"/>
        <n v="760"/>
        <n v="1036"/>
        <n v="200"/>
        <n v="275"/>
        <n v="837"/>
        <n v="924"/>
        <n v="150"/>
        <n v="780"/>
        <n v="600"/>
        <n v="583"/>
        <n v="564"/>
        <n v="530"/>
        <n v="660"/>
        <n v="264"/>
        <n v="58"/>
        <n v="440"/>
        <n v="550"/>
        <n v="82"/>
        <n v="50"/>
        <n v="351"/>
        <n v="585"/>
        <n v="945"/>
        <n v="222"/>
        <n v="357"/>
        <n v="559"/>
        <n v="90"/>
        <n v="1066"/>
        <n v="318"/>
        <n v="224"/>
        <n v="378"/>
        <n v="120"/>
        <n v="420"/>
        <n v="140"/>
        <n v="430"/>
        <n v="650"/>
        <n v="102"/>
        <n v="26"/>
        <n v="656"/>
        <n v="341"/>
        <n v="1302"/>
        <n v="714"/>
        <n v="86"/>
        <n v="56"/>
        <n v="126"/>
        <n v="689"/>
        <n v="403"/>
        <n v="840"/>
        <n v="234"/>
        <n v="129"/>
        <n v="286"/>
        <n v="344"/>
        <n v="392"/>
        <n v="728"/>
        <n v="290"/>
        <n v="532"/>
        <n v="950"/>
        <n v="825"/>
        <n v="1116"/>
        <n v="765"/>
        <n v="720"/>
        <n v="560"/>
        <n v="24"/>
        <n v="455"/>
        <n v="364"/>
        <n v="612"/>
        <n v="1176"/>
        <n v="192"/>
        <n v="60"/>
        <n v="448"/>
        <n v="540"/>
        <n v="819"/>
        <n v="216"/>
        <n v="792"/>
        <n v="310"/>
        <n v="888"/>
        <n v="225"/>
        <n v="154"/>
        <n v="76"/>
        <n v="215"/>
        <n v="638"/>
        <n v="795"/>
        <n v="740"/>
        <n v="574"/>
        <n v="330"/>
        <n v="51"/>
        <n v="860"/>
        <n v="1023"/>
        <n v="640"/>
        <n v="195"/>
        <n v="204"/>
        <n v="1064"/>
        <n v="100"/>
        <n v="611"/>
        <n v="260"/>
        <n v="470"/>
        <n v="130"/>
        <n v="84"/>
        <n v="700"/>
        <n v="174"/>
        <n v="132"/>
        <n v="812"/>
        <n v="235"/>
        <n v="190"/>
        <n v="320"/>
        <n v="1330"/>
        <n v="94"/>
        <n v="1032"/>
        <n v="66"/>
        <n v="441"/>
        <n v="770"/>
        <n v="31"/>
        <n v="172"/>
        <n v="188"/>
        <n v="518"/>
        <n v="588"/>
        <n v="74"/>
      </sharedItems>
    </cacheField>
  </cacheFields>
  <extLst>
    <ext xmlns:x14="http://schemas.microsoft.com/office/spreadsheetml/2009/9/main" uri="{725AE2AE-9491-48be-B2B4-4EB974FC3084}">
      <x14:pivotCacheDefinition pivotCacheId="8505454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780947106483" createdVersion="8" refreshedVersion="8" minRefreshableVersion="3" recordCount="502" xr:uid="{F9A5BE9F-83B5-435D-B1A8-7ECEDD480EE5}">
  <cacheSource type="worksheet">
    <worksheetSource ref="A1:M1048576" sheet="Sales_Data"/>
  </cacheSource>
  <cacheFields count="13">
    <cacheField name="Order_ID" numFmtId="0">
      <sharedItems containsBlank="1"/>
    </cacheField>
    <cacheField name="Order_Date" numFmtId="0">
      <sharedItems containsBlank="1"/>
    </cacheField>
    <cacheField name="Customer_Name" numFmtId="0">
      <sharedItems containsBlank="1"/>
    </cacheField>
    <cacheField name="Product_ID" numFmtId="0">
      <sharedItems containsBlank="1"/>
    </cacheField>
    <cacheField name="Product_Name" numFmtId="0">
      <sharedItems containsBlank="1"/>
    </cacheField>
    <cacheField name="Category" numFmtId="0">
      <sharedItems containsBlank="1"/>
    </cacheField>
    <cacheField name="Quantity_Sold" numFmtId="0">
      <sharedItems containsString="0" containsBlank="1" containsNumber="1" containsInteger="1" minValue="1" maxValue="15"/>
    </cacheField>
    <cacheField name="Selling_Price" numFmtId="0">
      <sharedItems containsString="0" containsBlank="1" containsNumber="1" containsInteger="1" minValue="37" maxValue="199"/>
    </cacheField>
    <cacheField name="Discount" numFmtId="0">
      <sharedItems containsString="0" containsBlank="1" containsNumber="1" containsInteger="1" minValue="0" maxValue="15"/>
    </cacheField>
    <cacheField name="Total_Sales" numFmtId="0">
      <sharedItems containsString="0" containsBlank="1" containsNumber="1" minValue="31.45" maxValue="2786"/>
    </cacheField>
    <cacheField name="Region" numFmtId="0">
      <sharedItems containsBlank="1"/>
    </cacheField>
    <cacheField name="Month" numFmtId="0">
      <sharedItems containsBlank="1"/>
    </cacheField>
    <cacheField name="Profit" numFmtId="0">
      <sharedItems containsString="0" containsBlank="1" containsNumber="1" containsInteger="1" minValue="20" maxValue="133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795723263887" createdVersion="8" refreshedVersion="8" minRefreshableVersion="3" recordCount="200" xr:uid="{6B985EE7-F8CA-489B-B200-FCEB47E87104}">
  <cacheSource type="worksheet">
    <worksheetSource ref="A1:J201" sheet="Inventory"/>
  </cacheSource>
  <cacheFields count="10">
    <cacheField name="Product_ID" numFmtId="0">
      <sharedItems/>
    </cacheField>
    <cacheField name="Product_Name" numFmtId="0">
      <sharedItems/>
    </cacheField>
    <cacheField name="Category" numFmtId="0">
      <sharedItems/>
    </cacheField>
    <cacheField name="Opening_Stock" numFmtId="0">
      <sharedItems containsSemiMixedTypes="0" containsString="0" containsNumber="1" containsInteger="1" minValue="50" maxValue="200"/>
    </cacheField>
    <cacheField name="Stock_In" numFmtId="0">
      <sharedItems containsSemiMixedTypes="0" containsString="0" containsNumber="1" containsInteger="1" minValue="20" maxValue="149"/>
    </cacheField>
    <cacheField name="Stock_Out" numFmtId="0">
      <sharedItems containsSemiMixedTypes="0" containsString="0" containsNumber="1" containsInteger="1" minValue="30" maxValue="180"/>
    </cacheField>
    <cacheField name="Current_Stock" numFmtId="0">
      <sharedItems containsSemiMixedTypes="0" containsString="0" containsNumber="1" containsInteger="1" minValue="-78" maxValue="277"/>
    </cacheField>
    <cacheField name="Cost_Price" numFmtId="0">
      <sharedItems containsSemiMixedTypes="0" containsString="0" containsNumber="1" containsInteger="1" minValue="10" maxValue="118"/>
    </cacheField>
    <cacheField name="Supplier" numFmtId="0">
      <sharedItems/>
    </cacheField>
    <cacheField name="inventory value" numFmtId="0">
      <sharedItems containsSemiMixedTypes="0" containsString="0" containsNumber="1" containsInteger="1" minValue="-5700" maxValue="2808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801178935188" createdVersion="8" refreshedVersion="8" minRefreshableVersion="3" recordCount="200" xr:uid="{F770C7AD-787F-4C39-84BC-8ACAB5F8531F}">
  <cacheSource type="worksheet">
    <worksheetSource ref="A1:L201" sheet="Inventory"/>
  </cacheSource>
  <cacheFields count="12">
    <cacheField name="Product_ID" numFmtId="0">
      <sharedItems/>
    </cacheField>
    <cacheField name="Product_Name" numFmtId="0">
      <sharedItems/>
    </cacheField>
    <cacheField name="Category" numFmtId="0">
      <sharedItems/>
    </cacheField>
    <cacheField name="Opening_Stock" numFmtId="0">
      <sharedItems containsSemiMixedTypes="0" containsString="0" containsNumber="1" containsInteger="1" minValue="50" maxValue="200"/>
    </cacheField>
    <cacheField name="Stock_In" numFmtId="0">
      <sharedItems containsSemiMixedTypes="0" containsString="0" containsNumber="1" containsInteger="1" minValue="20" maxValue="149"/>
    </cacheField>
    <cacheField name="Stock_Out" numFmtId="0">
      <sharedItems containsSemiMixedTypes="0" containsString="0" containsNumber="1" containsInteger="1" minValue="30" maxValue="180"/>
    </cacheField>
    <cacheField name="Current_Stock" numFmtId="0">
      <sharedItems containsSemiMixedTypes="0" containsString="0" containsNumber="1" containsInteger="1" minValue="-78" maxValue="277"/>
    </cacheField>
    <cacheField name="Cost_Price" numFmtId="0">
      <sharedItems containsSemiMixedTypes="0" containsString="0" containsNumber="1" containsInteger="1" minValue="10" maxValue="118"/>
    </cacheField>
    <cacheField name="Supplier" numFmtId="0">
      <sharedItems/>
    </cacheField>
    <cacheField name="inventory " numFmtId="0">
      <sharedItems containsSemiMixedTypes="0" containsString="0" containsNumber="1" containsInteger="1" minValue="-5700" maxValue="28084"/>
    </cacheField>
    <cacheField name="average inventory" numFmtId="0">
      <sharedItems containsSemiMixedTypes="0" containsString="0" containsNumber="1" minValue="26.5" maxValue="325.5"/>
    </cacheField>
    <cacheField name="Turnover" numFmtId="0">
      <sharedItems containsSemiMixedTypes="0" containsString="0" containsNumber="1" minValue="9.7178683385579931E-2" maxValue="6.357142857142856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6.731225347219" createdVersion="8" refreshedVersion="8" minRefreshableVersion="3" recordCount="500" xr:uid="{629DB24C-E604-443D-8157-8EED20F2F2EB}">
  <cacheSource type="worksheet">
    <worksheetSource ref="A1:O501" sheet="Sales_Data"/>
  </cacheSource>
  <cacheFields count="15">
    <cacheField name="Order_ID" numFmtId="0">
      <sharedItems count="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haredItems>
    </cacheField>
    <cacheField name="Order_Date" numFmtId="0">
      <sharedItems/>
    </cacheField>
    <cacheField name="Customer_Name" numFmtId="0">
      <sharedItems count="12">
        <s v="Arjun"/>
        <s v="Rahul"/>
        <s v="Rohan"/>
        <s v="Pooja"/>
        <s v="Kiran"/>
        <s v="Sneha"/>
        <s v="Vikas"/>
        <s v="Anjali"/>
        <s v="Priya"/>
        <s v="Amit"/>
        <s v="Neha"/>
        <s v="Meera"/>
      </sharedItems>
    </cacheField>
    <cacheField name="Product_ID" numFmtId="0">
      <sharedItems/>
    </cacheField>
    <cacheField name="Product_Name" numFmtId="0">
      <sharedItems count="40">
        <s v="Pistachio Fusion Chocolate"/>
        <s v="White Chocolate Truffle"/>
        <s v="Golden Caramel Bites"/>
        <s v="Kesar Milk Chocolate"/>
        <s v="Kunafa Bites"/>
        <s v="Signature Cocoa Bars"/>
        <s v="Classic Dark Chocolate"/>
        <s v="Mint Choco Squares"/>
        <s v="Nutella Filled Bites"/>
        <s v="Luxury Praline Box"/>
        <s v="Choco Crunch Cone"/>
        <s v="Caramel Crunch Cubes"/>
        <s v="Festive Chocolate Pack"/>
        <s v="Almond Crunch Bar"/>
        <s v="Fruit &amp; Nut Chocolate"/>
        <s v="Velvet Truffle Bites"/>
        <s v="Choco Aura Custom Bar"/>
        <s v="Cashew Delight Bites"/>
        <s v="Dry Fruit Special Chocolate"/>
        <s v="Berry Blast Chocolate"/>
        <s v="Silk Ganache Cubes"/>
        <s v="Choco Pie Popstick"/>
        <s v="Duo Choco Bites"/>
        <s v="Hazelnut Praline Chocolate"/>
        <s v="Rose Pista Chocolate"/>
        <s v="Choco Fudge Squares"/>
        <s v="Love Loaded Chocolate Bar"/>
        <s v="Premium Cocoa Slabs"/>
        <s v="Milk Chocolate Coins"/>
        <s v="Orange Zest Chocolate"/>
        <s v="Coconut Delight Bar"/>
        <s v="Choco Dip Cookie"/>
        <s v="Royal Dryfruit Mix"/>
        <s v="Honey Almond Chocolate"/>
        <s v="Choco Lava Bites"/>
        <s v="Butterscotch Crunch Bar"/>
        <s v="Dark Fantasy Squares"/>
        <s v="Choco Biscuit Pops"/>
        <s v="Coffee Mocha Bites"/>
        <s v="Crunchy Wafer Chocolate"/>
      </sharedItems>
    </cacheField>
    <cacheField name="Category" numFmtId="0">
      <sharedItems count="5">
        <s v="Cookies"/>
        <s v="Bars"/>
        <s v="Snacks"/>
        <s v="Premium"/>
        <s v="Festive"/>
      </sharedItems>
    </cacheField>
    <cacheField name="Quantity_Sold" numFmtId="0">
      <sharedItems containsSemiMixedTypes="0" containsString="0" containsNumber="1" containsInteger="1" minValue="1" maxValue="15"/>
    </cacheField>
    <cacheField name="Selling_Price" numFmtId="0">
      <sharedItems containsSemiMixedTypes="0" containsString="0" containsNumber="1" containsInteger="1" minValue="37" maxValue="199"/>
    </cacheField>
    <cacheField name="Discount" numFmtId="0">
      <sharedItems containsSemiMixedTypes="0" containsString="0" containsNumber="1" containsInteger="1" minValue="0" maxValue="15" count="4">
        <n v="10"/>
        <n v="5"/>
        <n v="0"/>
        <n v="15"/>
      </sharedItems>
    </cacheField>
    <cacheField name="Total_Sales" numFmtId="0">
      <sharedItems containsSemiMixedTypes="0" containsString="0" containsNumber="1" minValue="31.45" maxValue="2786"/>
    </cacheField>
    <cacheField name="Region" numFmtId="0">
      <sharedItems count="6">
        <s v="Delhi"/>
        <s v="Mumbai"/>
        <s v="Chennai"/>
        <s v="Bangalore"/>
        <s v="Pune"/>
        <s v="Hyderabad"/>
      </sharedItems>
    </cacheField>
    <cacheField name="Month" numFmtId="0">
      <sharedItems count="6">
        <s v="Jun"/>
        <s v="Apr"/>
        <s v="Feb"/>
        <s v="Jan"/>
        <s v="Mar"/>
        <s v="May"/>
      </sharedItems>
    </cacheField>
    <cacheField name="total profit" numFmtId="164">
      <sharedItems containsSemiMixedTypes="0" containsString="0" containsNumber="1" containsInteger="1" minValue="20" maxValue="1330"/>
    </cacheField>
    <cacheField name="margin" numFmtId="9">
      <sharedItems containsSemiMixedTypes="0" containsString="0" containsNumber="1" minValue="0.22" maxValue="0.98360655737704916"/>
    </cacheField>
    <cacheField name="turnover" numFmtId="2">
      <sharedItems containsSemiMixedTypes="0" containsString="0" containsNumber="1" minValue="1.7543859649122806E-2" maxValue="0.26315789473684209"/>
    </cacheField>
  </cacheFields>
  <extLst>
    <ext xmlns:x14="http://schemas.microsoft.com/office/spreadsheetml/2009/9/main" uri="{725AE2AE-9491-48be-B2B4-4EB974FC3084}">
      <x14:pivotCacheDefinition pivotCacheId="165547441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6.793344791666" createdVersion="8" refreshedVersion="8" minRefreshableVersion="3" recordCount="200" xr:uid="{06ED66BC-F04B-4818-8788-6B41F25C5140}">
  <cacheSource type="worksheet">
    <worksheetSource ref="A1:N201" sheet="Inventory"/>
  </cacheSource>
  <cacheFields count="14">
    <cacheField name="Product_ID" numFmtId="0">
      <sharedItems/>
    </cacheField>
    <cacheField name="Product_Name" numFmtId="0">
      <sharedItems count="40">
        <s v="Love Loaded Chocolate Bar"/>
        <s v="Choco Lava Bites"/>
        <s v="Dark Fantasy Squares"/>
        <s v="Choco Biscuit Pops"/>
        <s v="Choco Crunch Cone"/>
        <s v="Choco Fudge Squares"/>
        <s v="Festive Chocolate Pack"/>
        <s v="Golden Caramel Bites"/>
        <s v="Premium Cocoa Slabs"/>
        <s v="Milk Chocolate Coins"/>
        <s v="Dry Fruit Special Chocolate"/>
        <s v="Choco Dip Cookie"/>
        <s v="Butterscotch Crunch Bar"/>
        <s v="Hazelnut Praline Chocolate"/>
        <s v="Cashew Delight Bites"/>
        <s v="Velvet Truffle Bites"/>
        <s v="Kunafa Bites"/>
        <s v="Luxury Praline Box"/>
        <s v="Honey Almond Chocolate"/>
        <s v="Coffee Mocha Bites"/>
        <s v="Royal Dryfruit Mix"/>
        <s v="Kesar Milk Chocolate"/>
        <s v="Choco Aura Custom Bar"/>
        <s v="Classic Dark Chocolate"/>
        <s v="Orange Zest Chocolate"/>
        <s v="Coconut Delight Bar"/>
        <s v="Berry Blast Chocolate"/>
        <s v="Choco Pie Popstick"/>
        <s v="Mint Choco Squares"/>
        <s v="Duo Choco Bites"/>
        <s v="White Chocolate Truffle"/>
        <s v="Rose Pista Chocolate"/>
        <s v="Crunchy Wafer Chocolate"/>
        <s v="Silk Ganache Cubes"/>
        <s v="Nutella Filled Bites"/>
        <s v="Pistachio Fusion Chocolate"/>
        <s v="Fruit &amp; Nut Chocolate"/>
        <s v="Signature Cocoa Bars"/>
        <s v="Caramel Crunch Cubes"/>
        <s v="Almond Crunch Bar"/>
      </sharedItems>
    </cacheField>
    <cacheField name="Category" numFmtId="0">
      <sharedItems count="5">
        <s v="Festive"/>
        <s v="Snacks"/>
        <s v="Premium"/>
        <s v="Bars"/>
        <s v="Cookies"/>
      </sharedItems>
    </cacheField>
    <cacheField name="Opening_Stock" numFmtId="0">
      <sharedItems containsSemiMixedTypes="0" containsString="0" containsNumber="1" containsInteger="1" minValue="50" maxValue="200"/>
    </cacheField>
    <cacheField name="Stock_In" numFmtId="0">
      <sharedItems containsSemiMixedTypes="0" containsString="0" containsNumber="1" containsInteger="1" minValue="20" maxValue="149"/>
    </cacheField>
    <cacheField name="Stock_Out" numFmtId="0">
      <sharedItems containsSemiMixedTypes="0" containsString="0" containsNumber="1" containsInteger="1" minValue="30" maxValue="180"/>
    </cacheField>
    <cacheField name="Current_Stock" numFmtId="0">
      <sharedItems containsSemiMixedTypes="0" containsString="0" containsNumber="1" containsInteger="1" minValue="-78" maxValue="277"/>
    </cacheField>
    <cacheField name="Cost_Price" numFmtId="0">
      <sharedItems containsSemiMixedTypes="0" containsString="0" containsNumber="1" containsInteger="1" minValue="10" maxValue="118"/>
    </cacheField>
    <cacheField name="Supplier" numFmtId="0">
      <sharedItems count="5">
        <s v="Sweet Supplies"/>
        <s v="Global Cocoa"/>
        <s v="Choco World"/>
        <s v="ABC Traders"/>
        <s v="Premium Foods"/>
      </sharedItems>
    </cacheField>
    <cacheField name="inventory " numFmtId="0">
      <sharedItems containsSemiMixedTypes="0" containsString="0" containsNumber="1" containsInteger="1" minValue="-5700" maxValue="28084"/>
    </cacheField>
    <cacheField name="average inventory" numFmtId="0">
      <sharedItems containsSemiMixedTypes="0" containsString="0" containsNumber="1" minValue="26.5" maxValue="325.5"/>
    </cacheField>
    <cacheField name="Turnover" numFmtId="0">
      <sharedItems containsSemiMixedTypes="0" containsString="0" containsNumber="1" minValue="9.7178683385579931E-2" maxValue="6.3571428571428568"/>
    </cacheField>
    <cacheField name="health" numFmtId="0">
      <sharedItems count="3">
        <s v="Medium Stock"/>
        <s v="Healthy Stock"/>
        <s v="Low Stock"/>
      </sharedItems>
    </cacheField>
    <cacheField name="value" numFmtId="166">
      <sharedItems containsSemiMixedTypes="0" containsString="0" containsNumber="1" containsInteger="1" minValue="-5700" maxValue="28084"/>
    </cacheField>
  </cacheFields>
  <extLst>
    <ext xmlns:x14="http://schemas.microsoft.com/office/spreadsheetml/2009/9/main" uri="{725AE2AE-9491-48be-B2B4-4EB974FC3084}">
      <x14:pivotCacheDefinition pivotCacheId="1450106382"/>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6.797239583335" createdVersion="8" refreshedVersion="8" minRefreshableVersion="3" recordCount="40" xr:uid="{7ABC8ED6-D493-48E5-8261-A474DF784843}">
  <cacheSource type="worksheet">
    <worksheetSource ref="A1:E41" sheet="Product_Master"/>
  </cacheSource>
  <cacheFields count="5">
    <cacheField name="Product_ID" numFmtId="0">
      <sharedItems/>
    </cacheField>
    <cacheField name="Product_Name" numFmtId="0">
      <sharedItems count="40">
        <s v="Choco Pie Popstick"/>
        <s v="Kunafa Bites"/>
        <s v="Choco Crunch Cone"/>
        <s v="Duo Choco Bites"/>
        <s v="Choco Dip Cookie"/>
        <s v="Love Loaded Chocolate Bar"/>
        <s v="Choco Aura Custom Bar"/>
        <s v="Hazelnut Praline Chocolate"/>
        <s v="Rose Pista Chocolate"/>
        <s v="Dry Fruit Special Chocolate"/>
        <s v="Almond Crunch Bar"/>
        <s v="Cashew Delight Bites"/>
        <s v="Pistachio Fusion Chocolate"/>
        <s v="Dark Fantasy Squares"/>
        <s v="Caramel Crunch Cubes"/>
        <s v="Nutella Filled Bites"/>
        <s v="Kesar Milk Chocolate"/>
        <s v="Fruit &amp; Nut Chocolate"/>
        <s v="White Chocolate Truffle"/>
        <s v="Coffee Mocha Bites"/>
        <s v="Orange Zest Chocolate"/>
        <s v="Mint Choco Squares"/>
        <s v="Coconut Delight Bar"/>
        <s v="Crunchy Wafer Chocolate"/>
        <s v="Berry Blast Chocolate"/>
        <s v="Silk Ganache Cubes"/>
        <s v="Premium Cocoa Slabs"/>
        <s v="Butterscotch Crunch Bar"/>
        <s v="Choco Lava Bites"/>
        <s v="Royal Dryfruit Mix"/>
        <s v="Honey Almond Chocolate"/>
        <s v="Choco Fudge Squares"/>
        <s v="Milk Chocolate Coins"/>
        <s v="Signature Cocoa Bars"/>
        <s v="Velvet Truffle Bites"/>
        <s v="Classic Dark Chocolate"/>
        <s v="Golden Caramel Bites"/>
        <s v="Choco Biscuit Pops"/>
        <s v="Luxury Praline Box"/>
        <s v="Festive Chocolate Pack"/>
      </sharedItems>
    </cacheField>
    <cacheField name="Category" numFmtId="0">
      <sharedItems/>
    </cacheField>
    <cacheField name="Cost_Price" numFmtId="0">
      <sharedItems containsSemiMixedTypes="0" containsString="0" containsNumber="1" containsInteger="1" minValue="10" maxValue="118"/>
    </cacheField>
    <cacheField name="Selling_Price" numFmtId="0">
      <sharedItems containsSemiMixedTypes="0" containsString="0" containsNumber="1" containsInteger="1" minValue="37" maxValue="1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025-06-25"/>
    <s v="Arjun"/>
    <s v="P013"/>
    <s v="Pistachio Fusion Chocolate"/>
    <x v="0"/>
    <n v="1"/>
    <n v="143"/>
    <n v="10"/>
    <x v="0"/>
    <x v="0"/>
    <x v="0"/>
    <x v="0"/>
  </r>
  <r>
    <x v="1"/>
    <s v="2025-04-21"/>
    <s v="Rahul"/>
    <s v="P019"/>
    <s v="White Chocolate Truffle"/>
    <x v="1"/>
    <n v="13"/>
    <n v="95"/>
    <n v="5"/>
    <x v="1"/>
    <x v="1"/>
    <x v="1"/>
    <x v="1"/>
  </r>
  <r>
    <x v="2"/>
    <s v="2025-02-06"/>
    <s v="Arjun"/>
    <s v="P037"/>
    <s v="Golden Caramel Bites"/>
    <x v="2"/>
    <n v="11"/>
    <n v="160"/>
    <n v="0"/>
    <x v="2"/>
    <x v="2"/>
    <x v="2"/>
    <x v="2"/>
  </r>
  <r>
    <x v="3"/>
    <s v="2025-01-31"/>
    <s v="Rohan"/>
    <s v="P017"/>
    <s v="Kesar Milk Chocolate"/>
    <x v="0"/>
    <n v="1"/>
    <n v="151"/>
    <n v="0"/>
    <x v="3"/>
    <x v="0"/>
    <x v="3"/>
    <x v="3"/>
  </r>
  <r>
    <x v="4"/>
    <s v="2025-04-07"/>
    <s v="Pooja"/>
    <s v="P002"/>
    <s v="Kunafa Bites"/>
    <x v="3"/>
    <n v="5"/>
    <n v="146"/>
    <n v="10"/>
    <x v="4"/>
    <x v="1"/>
    <x v="1"/>
    <x v="4"/>
  </r>
  <r>
    <x v="5"/>
    <s v="2025-04-26"/>
    <s v="Kiran"/>
    <s v="P034"/>
    <s v="Signature Cocoa Bars"/>
    <x v="0"/>
    <n v="6"/>
    <n v="154"/>
    <n v="10"/>
    <x v="5"/>
    <x v="3"/>
    <x v="1"/>
    <x v="5"/>
  </r>
  <r>
    <x v="6"/>
    <s v="2025-02-19"/>
    <s v="Rohan"/>
    <s v="P036"/>
    <s v="Classic Dark Chocolate"/>
    <x v="0"/>
    <n v="15"/>
    <n v="139"/>
    <n v="0"/>
    <x v="6"/>
    <x v="3"/>
    <x v="2"/>
    <x v="6"/>
  </r>
  <r>
    <x v="7"/>
    <s v="2025-04-15"/>
    <s v="Sneha"/>
    <s v="P017"/>
    <s v="Kesar Milk Chocolate"/>
    <x v="0"/>
    <n v="4"/>
    <n v="151"/>
    <n v="15"/>
    <x v="7"/>
    <x v="4"/>
    <x v="1"/>
    <x v="7"/>
  </r>
  <r>
    <x v="8"/>
    <s v="2025-03-10"/>
    <s v="Vikas"/>
    <s v="P013"/>
    <s v="Pistachio Fusion Chocolate"/>
    <x v="0"/>
    <n v="7"/>
    <n v="143"/>
    <n v="0"/>
    <x v="8"/>
    <x v="3"/>
    <x v="4"/>
    <x v="8"/>
  </r>
  <r>
    <x v="9"/>
    <s v="2025-02-01"/>
    <s v="Anjali"/>
    <s v="P022"/>
    <s v="Mint Choco Squares"/>
    <x v="4"/>
    <n v="11"/>
    <n v="147"/>
    <n v="10"/>
    <x v="9"/>
    <x v="4"/>
    <x v="2"/>
    <x v="9"/>
  </r>
  <r>
    <x v="10"/>
    <s v="2025-05-27"/>
    <s v="Kiran"/>
    <s v="P016"/>
    <s v="Nutella Filled Bites"/>
    <x v="0"/>
    <n v="14"/>
    <n v="89"/>
    <n v="0"/>
    <x v="10"/>
    <x v="3"/>
    <x v="5"/>
    <x v="10"/>
  </r>
  <r>
    <x v="11"/>
    <s v="2025-01-28"/>
    <s v="Anjali"/>
    <s v="P017"/>
    <s v="Kesar Milk Chocolate"/>
    <x v="0"/>
    <n v="2"/>
    <n v="151"/>
    <n v="5"/>
    <x v="11"/>
    <x v="4"/>
    <x v="3"/>
    <x v="11"/>
  </r>
  <r>
    <x v="12"/>
    <s v="2025-04-13"/>
    <s v="Sneha"/>
    <s v="P002"/>
    <s v="Kunafa Bites"/>
    <x v="3"/>
    <n v="8"/>
    <n v="146"/>
    <n v="15"/>
    <x v="12"/>
    <x v="1"/>
    <x v="1"/>
    <x v="12"/>
  </r>
  <r>
    <x v="13"/>
    <s v="2025-01-17"/>
    <s v="Vikas"/>
    <s v="P039"/>
    <s v="Luxury Praline Box"/>
    <x v="4"/>
    <n v="11"/>
    <n v="181"/>
    <n v="5"/>
    <x v="13"/>
    <x v="4"/>
    <x v="3"/>
    <x v="13"/>
  </r>
  <r>
    <x v="14"/>
    <s v="2025-01-09"/>
    <s v="Kiran"/>
    <s v="P003"/>
    <s v="Choco Crunch Cone"/>
    <x v="1"/>
    <n v="1"/>
    <n v="86"/>
    <n v="5"/>
    <x v="14"/>
    <x v="3"/>
    <x v="3"/>
    <x v="14"/>
  </r>
  <r>
    <x v="15"/>
    <s v="2025-06-11"/>
    <s v="Rahul"/>
    <s v="P015"/>
    <s v="Caramel Crunch Cubes"/>
    <x v="4"/>
    <n v="7"/>
    <n v="158"/>
    <n v="0"/>
    <x v="15"/>
    <x v="2"/>
    <x v="0"/>
    <x v="15"/>
  </r>
  <r>
    <x v="16"/>
    <s v="2025-04-29"/>
    <s v="Pooja"/>
    <s v="P040"/>
    <s v="Festive Chocolate Pack"/>
    <x v="4"/>
    <n v="11"/>
    <n v="145"/>
    <n v="10"/>
    <x v="16"/>
    <x v="5"/>
    <x v="1"/>
    <x v="16"/>
  </r>
  <r>
    <x v="17"/>
    <s v="2025-06-06"/>
    <s v="Priya"/>
    <s v="P011"/>
    <s v="Almond Crunch Bar"/>
    <x v="1"/>
    <n v="2"/>
    <n v="90"/>
    <n v="5"/>
    <x v="17"/>
    <x v="3"/>
    <x v="0"/>
    <x v="17"/>
  </r>
  <r>
    <x v="18"/>
    <s v="2025-05-25"/>
    <s v="Vikas"/>
    <s v="P034"/>
    <s v="Signature Cocoa Bars"/>
    <x v="0"/>
    <n v="9"/>
    <n v="154"/>
    <n v="5"/>
    <x v="18"/>
    <x v="3"/>
    <x v="5"/>
    <x v="18"/>
  </r>
  <r>
    <x v="19"/>
    <s v="2025-05-24"/>
    <s v="Vikas"/>
    <s v="P022"/>
    <s v="Mint Choco Squares"/>
    <x v="4"/>
    <n v="15"/>
    <n v="147"/>
    <n v="10"/>
    <x v="19"/>
    <x v="0"/>
    <x v="5"/>
    <x v="19"/>
  </r>
  <r>
    <x v="20"/>
    <s v="2025-06-20"/>
    <s v="Amit"/>
    <s v="P018"/>
    <s v="Fruit &amp; Nut Chocolate"/>
    <x v="2"/>
    <n v="3"/>
    <n v="156"/>
    <n v="0"/>
    <x v="20"/>
    <x v="4"/>
    <x v="0"/>
    <x v="20"/>
  </r>
  <r>
    <x v="21"/>
    <s v="2025-04-26"/>
    <s v="Sneha"/>
    <s v="P035"/>
    <s v="Velvet Truffle Bites"/>
    <x v="0"/>
    <n v="1"/>
    <n v="199"/>
    <n v="0"/>
    <x v="21"/>
    <x v="2"/>
    <x v="1"/>
    <x v="21"/>
  </r>
  <r>
    <x v="22"/>
    <s v="2025-03-29"/>
    <s v="Priya"/>
    <s v="P007"/>
    <s v="Choco Aura Custom Bar"/>
    <x v="3"/>
    <n v="7"/>
    <n v="128"/>
    <n v="0"/>
    <x v="22"/>
    <x v="3"/>
    <x v="4"/>
    <x v="22"/>
  </r>
  <r>
    <x v="23"/>
    <s v="2025-03-30"/>
    <s v="Anjali"/>
    <s v="P012"/>
    <s v="Cashew Delight Bites"/>
    <x v="0"/>
    <n v="14"/>
    <n v="98"/>
    <n v="5"/>
    <x v="23"/>
    <x v="4"/>
    <x v="4"/>
    <x v="23"/>
  </r>
  <r>
    <x v="24"/>
    <s v="2025-02-22"/>
    <s v="Amit"/>
    <s v="P012"/>
    <s v="Cashew Delight Bites"/>
    <x v="0"/>
    <n v="11"/>
    <n v="98"/>
    <n v="15"/>
    <x v="24"/>
    <x v="2"/>
    <x v="2"/>
    <x v="24"/>
  </r>
  <r>
    <x v="25"/>
    <s v="2025-06-30"/>
    <s v="Rohan"/>
    <s v="P010"/>
    <s v="Dry Fruit Special Chocolate"/>
    <x v="1"/>
    <n v="6"/>
    <n v="160"/>
    <n v="15"/>
    <x v="25"/>
    <x v="2"/>
    <x v="0"/>
    <x v="25"/>
  </r>
  <r>
    <x v="26"/>
    <s v="2025-05-02"/>
    <s v="Pooja"/>
    <s v="P025"/>
    <s v="Berry Blast Chocolate"/>
    <x v="4"/>
    <n v="9"/>
    <n v="168"/>
    <n v="10"/>
    <x v="26"/>
    <x v="1"/>
    <x v="5"/>
    <x v="26"/>
  </r>
  <r>
    <x v="27"/>
    <s v="2025-03-21"/>
    <s v="Vikas"/>
    <s v="P017"/>
    <s v="Kesar Milk Chocolate"/>
    <x v="0"/>
    <n v="3"/>
    <n v="151"/>
    <n v="0"/>
    <x v="27"/>
    <x v="3"/>
    <x v="4"/>
    <x v="27"/>
  </r>
  <r>
    <x v="28"/>
    <s v="2025-02-08"/>
    <s v="Neha"/>
    <s v="P026"/>
    <s v="Silk Ganache Cubes"/>
    <x v="4"/>
    <n v="2"/>
    <n v="82"/>
    <n v="5"/>
    <x v="28"/>
    <x v="2"/>
    <x v="2"/>
    <x v="28"/>
  </r>
  <r>
    <x v="29"/>
    <s v="2025-03-18"/>
    <s v="Priya"/>
    <s v="P001"/>
    <s v="Choco Pie Popstick"/>
    <x v="2"/>
    <n v="10"/>
    <n v="74"/>
    <n v="0"/>
    <x v="29"/>
    <x v="4"/>
    <x v="4"/>
    <x v="29"/>
  </r>
  <r>
    <x v="30"/>
    <s v="2025-04-25"/>
    <s v="Amit"/>
    <s v="P018"/>
    <s v="Fruit &amp; Nut Chocolate"/>
    <x v="2"/>
    <n v="4"/>
    <n v="156"/>
    <n v="5"/>
    <x v="30"/>
    <x v="2"/>
    <x v="1"/>
    <x v="30"/>
  </r>
  <r>
    <x v="31"/>
    <s v="2025-03-22"/>
    <s v="Neha"/>
    <s v="P004"/>
    <s v="Duo Choco Bites"/>
    <x v="1"/>
    <n v="4"/>
    <n v="99"/>
    <n v="10"/>
    <x v="31"/>
    <x v="4"/>
    <x v="4"/>
    <x v="31"/>
  </r>
  <r>
    <x v="32"/>
    <s v="2025-05-25"/>
    <s v="Meera"/>
    <s v="P008"/>
    <s v="Hazelnut Praline Chocolate"/>
    <x v="3"/>
    <n v="6"/>
    <n v="76"/>
    <n v="15"/>
    <x v="32"/>
    <x v="0"/>
    <x v="5"/>
    <x v="32"/>
  </r>
  <r>
    <x v="33"/>
    <s v="2025-04-21"/>
    <s v="Arjun"/>
    <s v="P039"/>
    <s v="Luxury Praline Box"/>
    <x v="4"/>
    <n v="4"/>
    <n v="181"/>
    <n v="5"/>
    <x v="33"/>
    <x v="4"/>
    <x v="1"/>
    <x v="30"/>
  </r>
  <r>
    <x v="34"/>
    <s v="2025-01-21"/>
    <s v="Kiran"/>
    <s v="P004"/>
    <s v="Duo Choco Bites"/>
    <x v="1"/>
    <n v="13"/>
    <n v="99"/>
    <n v="15"/>
    <x v="34"/>
    <x v="5"/>
    <x v="3"/>
    <x v="33"/>
  </r>
  <r>
    <x v="35"/>
    <s v="2025-02-13"/>
    <s v="Rahul"/>
    <s v="P009"/>
    <s v="Rose Pista Chocolate"/>
    <x v="4"/>
    <n v="15"/>
    <n v="96"/>
    <n v="5"/>
    <x v="35"/>
    <x v="3"/>
    <x v="2"/>
    <x v="34"/>
  </r>
  <r>
    <x v="36"/>
    <s v="2025-05-07"/>
    <s v="Neha"/>
    <s v="P032"/>
    <s v="Choco Fudge Squares"/>
    <x v="3"/>
    <n v="6"/>
    <n v="130"/>
    <n v="5"/>
    <x v="36"/>
    <x v="1"/>
    <x v="5"/>
    <x v="35"/>
  </r>
  <r>
    <x v="37"/>
    <s v="2025-03-29"/>
    <s v="Priya"/>
    <s v="P011"/>
    <s v="Almond Crunch Bar"/>
    <x v="1"/>
    <n v="6"/>
    <n v="90"/>
    <n v="15"/>
    <x v="37"/>
    <x v="2"/>
    <x v="4"/>
    <x v="36"/>
  </r>
  <r>
    <x v="38"/>
    <s v="2025-03-08"/>
    <s v="Anjali"/>
    <s v="P006"/>
    <s v="Love Loaded Chocolate Bar"/>
    <x v="4"/>
    <n v="8"/>
    <n v="140"/>
    <n v="10"/>
    <x v="38"/>
    <x v="1"/>
    <x v="4"/>
    <x v="37"/>
  </r>
  <r>
    <x v="39"/>
    <s v="2025-05-17"/>
    <s v="Pooja"/>
    <s v="P001"/>
    <s v="Choco Pie Popstick"/>
    <x v="2"/>
    <n v="4"/>
    <n v="74"/>
    <n v="15"/>
    <x v="39"/>
    <x v="5"/>
    <x v="5"/>
    <x v="38"/>
  </r>
  <r>
    <x v="40"/>
    <s v="2025-04-16"/>
    <s v="Arjun"/>
    <s v="P027"/>
    <s v="Premium Cocoa Slabs"/>
    <x v="1"/>
    <n v="9"/>
    <n v="135"/>
    <n v="0"/>
    <x v="40"/>
    <x v="0"/>
    <x v="1"/>
    <x v="39"/>
  </r>
  <r>
    <x v="41"/>
    <s v="2025-02-24"/>
    <s v="Neha"/>
    <s v="P033"/>
    <s v="Milk Chocolate Coins"/>
    <x v="0"/>
    <n v="7"/>
    <n v="52"/>
    <n v="10"/>
    <x v="41"/>
    <x v="0"/>
    <x v="2"/>
    <x v="40"/>
  </r>
  <r>
    <x v="42"/>
    <s v="2025-05-05"/>
    <s v="Kiran"/>
    <s v="P007"/>
    <s v="Choco Aura Custom Bar"/>
    <x v="3"/>
    <n v="9"/>
    <n v="128"/>
    <n v="15"/>
    <x v="42"/>
    <x v="4"/>
    <x v="5"/>
    <x v="41"/>
  </r>
  <r>
    <x v="43"/>
    <s v="2025-04-19"/>
    <s v="Pooja"/>
    <s v="P004"/>
    <s v="Duo Choco Bites"/>
    <x v="1"/>
    <n v="10"/>
    <n v="99"/>
    <n v="15"/>
    <x v="43"/>
    <x v="0"/>
    <x v="1"/>
    <x v="42"/>
  </r>
  <r>
    <x v="44"/>
    <s v="2025-03-10"/>
    <s v="Meera"/>
    <s v="P013"/>
    <s v="Pistachio Fusion Chocolate"/>
    <x v="0"/>
    <n v="4"/>
    <n v="143"/>
    <n v="0"/>
    <x v="44"/>
    <x v="1"/>
    <x v="4"/>
    <x v="43"/>
  </r>
  <r>
    <x v="45"/>
    <s v="2025-03-11"/>
    <s v="Sneha"/>
    <s v="P016"/>
    <s v="Nutella Filled Bites"/>
    <x v="0"/>
    <n v="5"/>
    <n v="89"/>
    <n v="15"/>
    <x v="45"/>
    <x v="3"/>
    <x v="4"/>
    <x v="44"/>
  </r>
  <r>
    <x v="46"/>
    <s v="2025-02-14"/>
    <s v="Priya"/>
    <s v="P040"/>
    <s v="Festive Chocolate Pack"/>
    <x v="4"/>
    <n v="9"/>
    <n v="145"/>
    <n v="15"/>
    <x v="46"/>
    <x v="1"/>
    <x v="2"/>
    <x v="45"/>
  </r>
  <r>
    <x v="47"/>
    <s v="2025-06-11"/>
    <s v="Priya"/>
    <s v="P021"/>
    <s v="Orange Zest Chocolate"/>
    <x v="3"/>
    <n v="9"/>
    <n v="65"/>
    <n v="10"/>
    <x v="47"/>
    <x v="4"/>
    <x v="0"/>
    <x v="46"/>
  </r>
  <r>
    <x v="48"/>
    <s v="2025-06-27"/>
    <s v="Sneha"/>
    <s v="P003"/>
    <s v="Choco Crunch Cone"/>
    <x v="1"/>
    <n v="14"/>
    <n v="86"/>
    <n v="0"/>
    <x v="48"/>
    <x v="1"/>
    <x v="0"/>
    <x v="29"/>
  </r>
  <r>
    <x v="49"/>
    <s v="2025-06-01"/>
    <s v="Neha"/>
    <s v="P023"/>
    <s v="Coconut Delight Bar"/>
    <x v="2"/>
    <n v="3"/>
    <n v="37"/>
    <n v="5"/>
    <x v="49"/>
    <x v="1"/>
    <x v="0"/>
    <x v="47"/>
  </r>
  <r>
    <x v="50"/>
    <s v="2025-06-30"/>
    <s v="Priya"/>
    <s v="P002"/>
    <s v="Kunafa Bites"/>
    <x v="3"/>
    <n v="9"/>
    <n v="146"/>
    <n v="0"/>
    <x v="50"/>
    <x v="0"/>
    <x v="0"/>
    <x v="48"/>
  </r>
  <r>
    <x v="51"/>
    <s v="2025-06-07"/>
    <s v="Pooja"/>
    <s v="P027"/>
    <s v="Premium Cocoa Slabs"/>
    <x v="1"/>
    <n v="6"/>
    <n v="135"/>
    <n v="5"/>
    <x v="51"/>
    <x v="1"/>
    <x v="0"/>
    <x v="49"/>
  </r>
  <r>
    <x v="52"/>
    <s v="2025-03-28"/>
    <s v="Pooja"/>
    <s v="P039"/>
    <s v="Luxury Praline Box"/>
    <x v="4"/>
    <n v="12"/>
    <n v="181"/>
    <n v="0"/>
    <x v="52"/>
    <x v="0"/>
    <x v="4"/>
    <x v="50"/>
  </r>
  <r>
    <x v="53"/>
    <s v="2025-02-08"/>
    <s v="Amit"/>
    <s v="P011"/>
    <s v="Almond Crunch Bar"/>
    <x v="1"/>
    <n v="15"/>
    <n v="90"/>
    <n v="15"/>
    <x v="53"/>
    <x v="0"/>
    <x v="2"/>
    <x v="51"/>
  </r>
  <r>
    <x v="54"/>
    <s v="2025-04-15"/>
    <s v="Neha"/>
    <s v="P036"/>
    <s v="Classic Dark Chocolate"/>
    <x v="0"/>
    <n v="14"/>
    <n v="139"/>
    <n v="5"/>
    <x v="54"/>
    <x v="1"/>
    <x v="1"/>
    <x v="52"/>
  </r>
  <r>
    <x v="55"/>
    <s v="2025-04-14"/>
    <s v="Amit"/>
    <s v="P037"/>
    <s v="Golden Caramel Bites"/>
    <x v="2"/>
    <n v="7"/>
    <n v="160"/>
    <n v="15"/>
    <x v="55"/>
    <x v="2"/>
    <x v="1"/>
    <x v="53"/>
  </r>
  <r>
    <x v="56"/>
    <s v="2025-01-13"/>
    <s v="Rahul"/>
    <s v="P005"/>
    <s v="Choco Dip Cookie"/>
    <x v="3"/>
    <n v="8"/>
    <n v="98"/>
    <n v="10"/>
    <x v="56"/>
    <x v="0"/>
    <x v="3"/>
    <x v="54"/>
  </r>
  <r>
    <x v="57"/>
    <s v="2025-03-27"/>
    <s v="Neha"/>
    <s v="P009"/>
    <s v="Rose Pista Chocolate"/>
    <x v="4"/>
    <n v="2"/>
    <n v="96"/>
    <n v="5"/>
    <x v="57"/>
    <x v="0"/>
    <x v="4"/>
    <x v="55"/>
  </r>
  <r>
    <x v="58"/>
    <s v="2025-04-09"/>
    <s v="Anjali"/>
    <s v="P021"/>
    <s v="Orange Zest Chocolate"/>
    <x v="3"/>
    <n v="2"/>
    <n v="65"/>
    <n v="15"/>
    <x v="58"/>
    <x v="0"/>
    <x v="1"/>
    <x v="56"/>
  </r>
  <r>
    <x v="59"/>
    <s v="2025-03-29"/>
    <s v="Amit"/>
    <s v="P030"/>
    <s v="Royal Dryfruit Mix"/>
    <x v="0"/>
    <n v="1"/>
    <n v="135"/>
    <n v="10"/>
    <x v="59"/>
    <x v="5"/>
    <x v="4"/>
    <x v="28"/>
  </r>
  <r>
    <x v="60"/>
    <s v="2025-05-17"/>
    <s v="Sneha"/>
    <s v="P015"/>
    <s v="Caramel Crunch Cubes"/>
    <x v="4"/>
    <n v="7"/>
    <n v="158"/>
    <n v="0"/>
    <x v="15"/>
    <x v="4"/>
    <x v="5"/>
    <x v="15"/>
  </r>
  <r>
    <x v="61"/>
    <s v="2025-06-02"/>
    <s v="Arjun"/>
    <s v="P009"/>
    <s v="Rose Pista Chocolate"/>
    <x v="4"/>
    <n v="12"/>
    <n v="96"/>
    <n v="0"/>
    <x v="60"/>
    <x v="2"/>
    <x v="0"/>
    <x v="57"/>
  </r>
  <r>
    <x v="62"/>
    <s v="2025-01-15"/>
    <s v="Neha"/>
    <s v="P017"/>
    <s v="Kesar Milk Chocolate"/>
    <x v="0"/>
    <n v="14"/>
    <n v="151"/>
    <n v="0"/>
    <x v="61"/>
    <x v="5"/>
    <x v="3"/>
    <x v="58"/>
  </r>
  <r>
    <x v="63"/>
    <s v="2025-01-19"/>
    <s v="Priya"/>
    <s v="P032"/>
    <s v="Choco Fudge Squares"/>
    <x v="3"/>
    <n v="4"/>
    <n v="130"/>
    <n v="0"/>
    <x v="62"/>
    <x v="5"/>
    <x v="3"/>
    <x v="32"/>
  </r>
  <r>
    <x v="64"/>
    <s v="2025-01-06"/>
    <s v="Rahul"/>
    <s v="P031"/>
    <s v="Honey Almond Chocolate"/>
    <x v="0"/>
    <n v="7"/>
    <n v="119"/>
    <n v="0"/>
    <x v="63"/>
    <x v="3"/>
    <x v="3"/>
    <x v="59"/>
  </r>
  <r>
    <x v="65"/>
    <s v="2025-01-14"/>
    <s v="Amit"/>
    <s v="P030"/>
    <s v="Royal Dryfruit Mix"/>
    <x v="0"/>
    <n v="2"/>
    <n v="135"/>
    <n v="15"/>
    <x v="64"/>
    <x v="1"/>
    <x v="3"/>
    <x v="60"/>
  </r>
  <r>
    <x v="66"/>
    <s v="2025-02-05"/>
    <s v="Amit"/>
    <s v="P006"/>
    <s v="Love Loaded Chocolate Bar"/>
    <x v="4"/>
    <n v="7"/>
    <n v="140"/>
    <n v="0"/>
    <x v="65"/>
    <x v="5"/>
    <x v="2"/>
    <x v="61"/>
  </r>
  <r>
    <x v="67"/>
    <s v="2025-04-22"/>
    <s v="Anjali"/>
    <s v="P035"/>
    <s v="Velvet Truffle Bites"/>
    <x v="0"/>
    <n v="4"/>
    <n v="199"/>
    <n v="15"/>
    <x v="66"/>
    <x v="1"/>
    <x v="1"/>
    <x v="62"/>
  </r>
  <r>
    <x v="68"/>
    <s v="2025-04-11"/>
    <s v="Meera"/>
    <s v="P016"/>
    <s v="Nutella Filled Bites"/>
    <x v="0"/>
    <n v="13"/>
    <n v="89"/>
    <n v="5"/>
    <x v="67"/>
    <x v="5"/>
    <x v="1"/>
    <x v="63"/>
  </r>
  <r>
    <x v="69"/>
    <s v="2025-05-24"/>
    <s v="Arjun"/>
    <s v="P008"/>
    <s v="Hazelnut Praline Chocolate"/>
    <x v="3"/>
    <n v="13"/>
    <n v="76"/>
    <n v="15"/>
    <x v="68"/>
    <x v="2"/>
    <x v="5"/>
    <x v="64"/>
  </r>
  <r>
    <x v="70"/>
    <s v="2025-05-06"/>
    <s v="Meera"/>
    <s v="P029"/>
    <s v="Choco Lava Bites"/>
    <x v="2"/>
    <n v="4"/>
    <n v="100"/>
    <n v="15"/>
    <x v="69"/>
    <x v="3"/>
    <x v="5"/>
    <x v="65"/>
  </r>
  <r>
    <x v="71"/>
    <s v="2025-03-21"/>
    <s v="Kiran"/>
    <s v="P030"/>
    <s v="Royal Dryfruit Mix"/>
    <x v="0"/>
    <n v="10"/>
    <n v="135"/>
    <n v="0"/>
    <x v="70"/>
    <x v="4"/>
    <x v="4"/>
    <x v="66"/>
  </r>
  <r>
    <x v="72"/>
    <s v="2025-06-14"/>
    <s v="Rohan"/>
    <s v="P018"/>
    <s v="Fruit &amp; Nut Chocolate"/>
    <x v="2"/>
    <n v="11"/>
    <n v="156"/>
    <n v="10"/>
    <x v="71"/>
    <x v="4"/>
    <x v="0"/>
    <x v="13"/>
  </r>
  <r>
    <x v="73"/>
    <s v="2025-01-03"/>
    <s v="Priya"/>
    <s v="P018"/>
    <s v="Fruit &amp; Nut Chocolate"/>
    <x v="2"/>
    <n v="9"/>
    <n v="156"/>
    <n v="15"/>
    <x v="72"/>
    <x v="5"/>
    <x v="3"/>
    <x v="67"/>
  </r>
  <r>
    <x v="74"/>
    <s v="2025-06-14"/>
    <s v="Pooja"/>
    <s v="P039"/>
    <s v="Luxury Praline Box"/>
    <x v="4"/>
    <n v="1"/>
    <n v="181"/>
    <n v="5"/>
    <x v="73"/>
    <x v="3"/>
    <x v="0"/>
    <x v="68"/>
  </r>
  <r>
    <x v="75"/>
    <s v="2025-02-17"/>
    <s v="Amit"/>
    <s v="P040"/>
    <s v="Festive Chocolate Pack"/>
    <x v="4"/>
    <n v="14"/>
    <n v="145"/>
    <n v="0"/>
    <x v="74"/>
    <x v="5"/>
    <x v="2"/>
    <x v="69"/>
  </r>
  <r>
    <x v="76"/>
    <s v="2025-02-16"/>
    <s v="Kiran"/>
    <s v="P002"/>
    <s v="Kunafa Bites"/>
    <x v="3"/>
    <n v="15"/>
    <n v="146"/>
    <n v="10"/>
    <x v="75"/>
    <x v="2"/>
    <x v="2"/>
    <x v="70"/>
  </r>
  <r>
    <x v="77"/>
    <s v="2025-03-09"/>
    <s v="Pooja"/>
    <s v="P034"/>
    <s v="Signature Cocoa Bars"/>
    <x v="0"/>
    <n v="15"/>
    <n v="154"/>
    <n v="0"/>
    <x v="76"/>
    <x v="5"/>
    <x v="4"/>
    <x v="71"/>
  </r>
  <r>
    <x v="78"/>
    <s v="2025-01-10"/>
    <s v="Kiran"/>
    <s v="P007"/>
    <s v="Choco Aura Custom Bar"/>
    <x v="3"/>
    <n v="1"/>
    <n v="128"/>
    <n v="5"/>
    <x v="77"/>
    <x v="2"/>
    <x v="3"/>
    <x v="3"/>
  </r>
  <r>
    <x v="79"/>
    <s v="2025-04-23"/>
    <s v="Vikas"/>
    <s v="P011"/>
    <s v="Almond Crunch Bar"/>
    <x v="1"/>
    <n v="15"/>
    <n v="90"/>
    <n v="15"/>
    <x v="53"/>
    <x v="2"/>
    <x v="1"/>
    <x v="51"/>
  </r>
  <r>
    <x v="80"/>
    <s v="2025-06-18"/>
    <s v="Meera"/>
    <s v="P032"/>
    <s v="Choco Fudge Squares"/>
    <x v="3"/>
    <n v="9"/>
    <n v="130"/>
    <n v="5"/>
    <x v="78"/>
    <x v="1"/>
    <x v="0"/>
    <x v="72"/>
  </r>
  <r>
    <x v="81"/>
    <s v="2025-01-30"/>
    <s v="Anjali"/>
    <s v="P013"/>
    <s v="Pistachio Fusion Chocolate"/>
    <x v="0"/>
    <n v="4"/>
    <n v="143"/>
    <n v="5"/>
    <x v="79"/>
    <x v="2"/>
    <x v="3"/>
    <x v="43"/>
  </r>
  <r>
    <x v="82"/>
    <s v="2025-06-29"/>
    <s v="Amit"/>
    <s v="P028"/>
    <s v="Butterscotch Crunch Bar"/>
    <x v="1"/>
    <n v="13"/>
    <n v="109"/>
    <n v="10"/>
    <x v="80"/>
    <x v="0"/>
    <x v="0"/>
    <x v="73"/>
  </r>
  <r>
    <x v="83"/>
    <s v="2025-05-29"/>
    <s v="Rahul"/>
    <s v="P035"/>
    <s v="Velvet Truffle Bites"/>
    <x v="0"/>
    <n v="10"/>
    <n v="199"/>
    <n v="10"/>
    <x v="81"/>
    <x v="3"/>
    <x v="5"/>
    <x v="74"/>
  </r>
  <r>
    <x v="84"/>
    <s v="2025-04-01"/>
    <s v="Rohan"/>
    <s v="P027"/>
    <s v="Premium Cocoa Slabs"/>
    <x v="1"/>
    <n v="11"/>
    <n v="135"/>
    <n v="10"/>
    <x v="82"/>
    <x v="5"/>
    <x v="1"/>
    <x v="75"/>
  </r>
  <r>
    <x v="85"/>
    <s v="2025-03-08"/>
    <s v="Neha"/>
    <s v="P004"/>
    <s v="Duo Choco Bites"/>
    <x v="1"/>
    <n v="15"/>
    <n v="99"/>
    <n v="5"/>
    <x v="83"/>
    <x v="5"/>
    <x v="4"/>
    <x v="34"/>
  </r>
  <r>
    <x v="86"/>
    <s v="2025-03-30"/>
    <s v="Priya"/>
    <s v="P004"/>
    <s v="Duo Choco Bites"/>
    <x v="1"/>
    <n v="2"/>
    <n v="99"/>
    <n v="15"/>
    <x v="84"/>
    <x v="2"/>
    <x v="4"/>
    <x v="55"/>
  </r>
  <r>
    <x v="87"/>
    <s v="2025-01-13"/>
    <s v="Amit"/>
    <s v="P035"/>
    <s v="Velvet Truffle Bites"/>
    <x v="0"/>
    <n v="3"/>
    <n v="199"/>
    <n v="5"/>
    <x v="85"/>
    <x v="1"/>
    <x v="3"/>
    <x v="76"/>
  </r>
  <r>
    <x v="88"/>
    <s v="2025-03-21"/>
    <s v="Meera"/>
    <s v="P040"/>
    <s v="Festive Chocolate Pack"/>
    <x v="4"/>
    <n v="12"/>
    <n v="145"/>
    <n v="5"/>
    <x v="86"/>
    <x v="3"/>
    <x v="4"/>
    <x v="77"/>
  </r>
  <r>
    <x v="89"/>
    <s v="2025-01-28"/>
    <s v="Vikas"/>
    <s v="P006"/>
    <s v="Love Loaded Chocolate Bar"/>
    <x v="4"/>
    <n v="9"/>
    <n v="140"/>
    <n v="0"/>
    <x v="87"/>
    <x v="4"/>
    <x v="3"/>
    <x v="78"/>
  </r>
  <r>
    <x v="90"/>
    <s v="2025-04-26"/>
    <s v="Priya"/>
    <s v="P005"/>
    <s v="Choco Dip Cookie"/>
    <x v="3"/>
    <n v="2"/>
    <n v="98"/>
    <n v="5"/>
    <x v="88"/>
    <x v="2"/>
    <x v="1"/>
    <x v="79"/>
  </r>
  <r>
    <x v="91"/>
    <s v="2025-04-09"/>
    <s v="Sneha"/>
    <s v="P021"/>
    <s v="Orange Zest Chocolate"/>
    <x v="3"/>
    <n v="14"/>
    <n v="65"/>
    <n v="5"/>
    <x v="89"/>
    <x v="4"/>
    <x v="1"/>
    <x v="23"/>
  </r>
  <r>
    <x v="92"/>
    <s v="2025-05-05"/>
    <s v="Arjun"/>
    <s v="P016"/>
    <s v="Nutella Filled Bites"/>
    <x v="0"/>
    <n v="15"/>
    <n v="89"/>
    <n v="5"/>
    <x v="90"/>
    <x v="4"/>
    <x v="5"/>
    <x v="80"/>
  </r>
  <r>
    <x v="93"/>
    <s v="2025-06-25"/>
    <s v="Neha"/>
    <s v="P012"/>
    <s v="Cashew Delight Bites"/>
    <x v="0"/>
    <n v="11"/>
    <n v="98"/>
    <n v="15"/>
    <x v="24"/>
    <x v="5"/>
    <x v="0"/>
    <x v="24"/>
  </r>
  <r>
    <x v="94"/>
    <s v="2025-01-12"/>
    <s v="Rohan"/>
    <s v="P029"/>
    <s v="Choco Lava Bites"/>
    <x v="2"/>
    <n v="1"/>
    <n v="100"/>
    <n v="15"/>
    <x v="91"/>
    <x v="1"/>
    <x v="3"/>
    <x v="81"/>
  </r>
  <r>
    <x v="95"/>
    <s v="2025-01-03"/>
    <s v="Kiran"/>
    <s v="P013"/>
    <s v="Pistachio Fusion Chocolate"/>
    <x v="0"/>
    <n v="5"/>
    <n v="143"/>
    <n v="0"/>
    <x v="92"/>
    <x v="1"/>
    <x v="3"/>
    <x v="82"/>
  </r>
  <r>
    <x v="96"/>
    <s v="2025-03-17"/>
    <s v="Kiran"/>
    <s v="P021"/>
    <s v="Orange Zest Chocolate"/>
    <x v="3"/>
    <n v="4"/>
    <n v="65"/>
    <n v="10"/>
    <x v="93"/>
    <x v="0"/>
    <x v="4"/>
    <x v="65"/>
  </r>
  <r>
    <x v="97"/>
    <s v="2025-04-13"/>
    <s v="Arjun"/>
    <s v="P014"/>
    <s v="Dark Fantasy Squares"/>
    <x v="2"/>
    <n v="15"/>
    <n v="96"/>
    <n v="5"/>
    <x v="35"/>
    <x v="3"/>
    <x v="1"/>
    <x v="83"/>
  </r>
  <r>
    <x v="98"/>
    <s v="2025-03-23"/>
    <s v="Anjali"/>
    <s v="P033"/>
    <s v="Milk Chocolate Coins"/>
    <x v="0"/>
    <n v="8"/>
    <n v="52"/>
    <n v="5"/>
    <x v="94"/>
    <x v="3"/>
    <x v="4"/>
    <x v="33"/>
  </r>
  <r>
    <x v="99"/>
    <s v="2025-03-31"/>
    <s v="Rahul"/>
    <s v="P022"/>
    <s v="Mint Choco Squares"/>
    <x v="4"/>
    <n v="9"/>
    <n v="147"/>
    <n v="15"/>
    <x v="95"/>
    <x v="4"/>
    <x v="4"/>
    <x v="84"/>
  </r>
  <r>
    <x v="100"/>
    <s v="2025-04-28"/>
    <s v="Vikas"/>
    <s v="P014"/>
    <s v="Dark Fantasy Squares"/>
    <x v="2"/>
    <n v="6"/>
    <n v="96"/>
    <n v="15"/>
    <x v="96"/>
    <x v="5"/>
    <x v="1"/>
    <x v="85"/>
  </r>
  <r>
    <x v="101"/>
    <s v="2025-02-21"/>
    <s v="Anjali"/>
    <s v="P036"/>
    <s v="Classic Dark Chocolate"/>
    <x v="0"/>
    <n v="7"/>
    <n v="139"/>
    <n v="15"/>
    <x v="97"/>
    <x v="4"/>
    <x v="2"/>
    <x v="86"/>
  </r>
  <r>
    <x v="102"/>
    <s v="2025-05-17"/>
    <s v="Neha"/>
    <s v="P025"/>
    <s v="Berry Blast Chocolate"/>
    <x v="4"/>
    <n v="1"/>
    <n v="168"/>
    <n v="5"/>
    <x v="98"/>
    <x v="4"/>
    <x v="5"/>
    <x v="87"/>
  </r>
  <r>
    <x v="103"/>
    <s v="2025-01-19"/>
    <s v="Meera"/>
    <s v="P018"/>
    <s v="Fruit &amp; Nut Chocolate"/>
    <x v="2"/>
    <n v="12"/>
    <n v="156"/>
    <n v="0"/>
    <x v="99"/>
    <x v="1"/>
    <x v="3"/>
    <x v="50"/>
  </r>
  <r>
    <x v="104"/>
    <s v="2025-01-28"/>
    <s v="Priya"/>
    <s v="P032"/>
    <s v="Choco Fudge Squares"/>
    <x v="3"/>
    <n v="15"/>
    <n v="130"/>
    <n v="0"/>
    <x v="100"/>
    <x v="5"/>
    <x v="3"/>
    <x v="88"/>
  </r>
  <r>
    <x v="105"/>
    <s v="2025-02-08"/>
    <s v="Anjali"/>
    <s v="P015"/>
    <s v="Caramel Crunch Cubes"/>
    <x v="4"/>
    <n v="4"/>
    <n v="158"/>
    <n v="0"/>
    <x v="101"/>
    <x v="3"/>
    <x v="2"/>
    <x v="89"/>
  </r>
  <r>
    <x v="106"/>
    <s v="2025-03-19"/>
    <s v="Pooja"/>
    <s v="P009"/>
    <s v="Rose Pista Chocolate"/>
    <x v="4"/>
    <n v="12"/>
    <n v="96"/>
    <n v="5"/>
    <x v="102"/>
    <x v="3"/>
    <x v="4"/>
    <x v="57"/>
  </r>
  <r>
    <x v="107"/>
    <s v="2025-03-08"/>
    <s v="Priya"/>
    <s v="P013"/>
    <s v="Pistachio Fusion Chocolate"/>
    <x v="0"/>
    <n v="5"/>
    <n v="143"/>
    <n v="5"/>
    <x v="103"/>
    <x v="3"/>
    <x v="4"/>
    <x v="82"/>
  </r>
  <r>
    <x v="108"/>
    <s v="2025-06-25"/>
    <s v="Kiran"/>
    <s v="P007"/>
    <s v="Choco Aura Custom Bar"/>
    <x v="3"/>
    <n v="5"/>
    <n v="128"/>
    <n v="10"/>
    <x v="104"/>
    <x v="2"/>
    <x v="0"/>
    <x v="90"/>
  </r>
  <r>
    <x v="109"/>
    <s v="2025-02-09"/>
    <s v="Pooja"/>
    <s v="P006"/>
    <s v="Love Loaded Chocolate Bar"/>
    <x v="4"/>
    <n v="2"/>
    <n v="140"/>
    <n v="0"/>
    <x v="105"/>
    <x v="5"/>
    <x v="2"/>
    <x v="91"/>
  </r>
  <r>
    <x v="110"/>
    <s v="2025-03-07"/>
    <s v="Kiran"/>
    <s v="P019"/>
    <s v="White Chocolate Truffle"/>
    <x v="1"/>
    <n v="2"/>
    <n v="95"/>
    <n v="0"/>
    <x v="106"/>
    <x v="5"/>
    <x v="4"/>
    <x v="92"/>
  </r>
  <r>
    <x v="111"/>
    <s v="2025-01-06"/>
    <s v="Rahul"/>
    <s v="P012"/>
    <s v="Cashew Delight Bites"/>
    <x v="0"/>
    <n v="14"/>
    <n v="98"/>
    <n v="0"/>
    <x v="107"/>
    <x v="0"/>
    <x v="3"/>
    <x v="23"/>
  </r>
  <r>
    <x v="112"/>
    <s v="2025-05-17"/>
    <s v="Vikas"/>
    <s v="P018"/>
    <s v="Fruit &amp; Nut Chocolate"/>
    <x v="2"/>
    <n v="11"/>
    <n v="156"/>
    <n v="0"/>
    <x v="108"/>
    <x v="1"/>
    <x v="5"/>
    <x v="13"/>
  </r>
  <r>
    <x v="113"/>
    <s v="2025-02-02"/>
    <s v="Kiran"/>
    <s v="P040"/>
    <s v="Festive Chocolate Pack"/>
    <x v="4"/>
    <n v="15"/>
    <n v="145"/>
    <n v="0"/>
    <x v="109"/>
    <x v="0"/>
    <x v="2"/>
    <x v="93"/>
  </r>
  <r>
    <x v="114"/>
    <s v="2025-04-07"/>
    <s v="Sneha"/>
    <s v="P027"/>
    <s v="Premium Cocoa Slabs"/>
    <x v="1"/>
    <n v="6"/>
    <n v="135"/>
    <n v="5"/>
    <x v="51"/>
    <x v="5"/>
    <x v="1"/>
    <x v="49"/>
  </r>
  <r>
    <x v="115"/>
    <s v="2025-06-28"/>
    <s v="Anjali"/>
    <s v="P030"/>
    <s v="Royal Dryfruit Mix"/>
    <x v="0"/>
    <n v="11"/>
    <n v="135"/>
    <n v="15"/>
    <x v="110"/>
    <x v="1"/>
    <x v="0"/>
    <x v="94"/>
  </r>
  <r>
    <x v="116"/>
    <s v="2025-06-16"/>
    <s v="Meera"/>
    <s v="P023"/>
    <s v="Coconut Delight Bar"/>
    <x v="2"/>
    <n v="7"/>
    <n v="37"/>
    <n v="15"/>
    <x v="111"/>
    <x v="1"/>
    <x v="0"/>
    <x v="95"/>
  </r>
  <r>
    <x v="117"/>
    <s v="2025-06-17"/>
    <s v="Neha"/>
    <s v="P015"/>
    <s v="Caramel Crunch Cubes"/>
    <x v="4"/>
    <n v="1"/>
    <n v="158"/>
    <n v="15"/>
    <x v="112"/>
    <x v="5"/>
    <x v="0"/>
    <x v="96"/>
  </r>
  <r>
    <x v="118"/>
    <s v="2025-01-04"/>
    <s v="Sneha"/>
    <s v="P029"/>
    <s v="Choco Lava Bites"/>
    <x v="2"/>
    <n v="5"/>
    <n v="100"/>
    <n v="5"/>
    <x v="113"/>
    <x v="1"/>
    <x v="3"/>
    <x v="97"/>
  </r>
  <r>
    <x v="119"/>
    <s v="2025-05-31"/>
    <s v="Rohan"/>
    <s v="P030"/>
    <s v="Royal Dryfruit Mix"/>
    <x v="0"/>
    <n v="13"/>
    <n v="135"/>
    <n v="5"/>
    <x v="114"/>
    <x v="2"/>
    <x v="5"/>
    <x v="98"/>
  </r>
  <r>
    <x v="120"/>
    <s v="2025-06-22"/>
    <s v="Meera"/>
    <s v="P025"/>
    <s v="Berry Blast Chocolate"/>
    <x v="4"/>
    <n v="9"/>
    <n v="168"/>
    <n v="10"/>
    <x v="26"/>
    <x v="3"/>
    <x v="0"/>
    <x v="26"/>
  </r>
  <r>
    <x v="121"/>
    <s v="2025-04-18"/>
    <s v="Neha"/>
    <s v="P034"/>
    <s v="Signature Cocoa Bars"/>
    <x v="0"/>
    <n v="4"/>
    <n v="154"/>
    <n v="0"/>
    <x v="115"/>
    <x v="0"/>
    <x v="1"/>
    <x v="99"/>
  </r>
  <r>
    <x v="122"/>
    <s v="2025-04-10"/>
    <s v="Pooja"/>
    <s v="P023"/>
    <s v="Coconut Delight Bar"/>
    <x v="2"/>
    <n v="12"/>
    <n v="37"/>
    <n v="10"/>
    <x v="116"/>
    <x v="4"/>
    <x v="1"/>
    <x v="33"/>
  </r>
  <r>
    <x v="123"/>
    <s v="2025-04-21"/>
    <s v="Amit"/>
    <s v="P009"/>
    <s v="Rose Pista Chocolate"/>
    <x v="4"/>
    <n v="3"/>
    <n v="96"/>
    <n v="0"/>
    <x v="117"/>
    <x v="3"/>
    <x v="1"/>
    <x v="100"/>
  </r>
  <r>
    <x v="124"/>
    <s v="2025-03-02"/>
    <s v="Neha"/>
    <s v="P040"/>
    <s v="Festive Chocolate Pack"/>
    <x v="4"/>
    <n v="12"/>
    <n v="145"/>
    <n v="0"/>
    <x v="118"/>
    <x v="2"/>
    <x v="4"/>
    <x v="77"/>
  </r>
  <r>
    <x v="125"/>
    <s v="2025-06-15"/>
    <s v="Vikas"/>
    <s v="P035"/>
    <s v="Velvet Truffle Bites"/>
    <x v="0"/>
    <n v="3"/>
    <n v="199"/>
    <n v="5"/>
    <x v="85"/>
    <x v="5"/>
    <x v="0"/>
    <x v="76"/>
  </r>
  <r>
    <x v="126"/>
    <s v="2025-02-04"/>
    <s v="Anjali"/>
    <s v="P039"/>
    <s v="Luxury Praline Box"/>
    <x v="4"/>
    <n v="8"/>
    <n v="181"/>
    <n v="15"/>
    <x v="119"/>
    <x v="0"/>
    <x v="2"/>
    <x v="101"/>
  </r>
  <r>
    <x v="127"/>
    <s v="2025-03-21"/>
    <s v="Rahul"/>
    <s v="P010"/>
    <s v="Dry Fruit Special Chocolate"/>
    <x v="1"/>
    <n v="9"/>
    <n v="160"/>
    <n v="15"/>
    <x v="120"/>
    <x v="0"/>
    <x v="4"/>
    <x v="102"/>
  </r>
  <r>
    <x v="128"/>
    <s v="2025-01-18"/>
    <s v="Arjun"/>
    <s v="P026"/>
    <s v="Silk Ganache Cubes"/>
    <x v="4"/>
    <n v="12"/>
    <n v="82"/>
    <n v="10"/>
    <x v="121"/>
    <x v="2"/>
    <x v="3"/>
    <x v="103"/>
  </r>
  <r>
    <x v="129"/>
    <s v="2025-04-01"/>
    <s v="Priya"/>
    <s v="P030"/>
    <s v="Royal Dryfruit Mix"/>
    <x v="0"/>
    <n v="12"/>
    <n v="135"/>
    <n v="0"/>
    <x v="122"/>
    <x v="2"/>
    <x v="1"/>
    <x v="104"/>
  </r>
  <r>
    <x v="130"/>
    <s v="2025-02-05"/>
    <s v="Vikas"/>
    <s v="P002"/>
    <s v="Kunafa Bites"/>
    <x v="3"/>
    <n v="8"/>
    <n v="146"/>
    <n v="10"/>
    <x v="123"/>
    <x v="4"/>
    <x v="2"/>
    <x v="12"/>
  </r>
  <r>
    <x v="131"/>
    <s v="2025-06-11"/>
    <s v="Anjali"/>
    <s v="P029"/>
    <s v="Choco Lava Bites"/>
    <x v="2"/>
    <n v="10"/>
    <n v="100"/>
    <n v="0"/>
    <x v="124"/>
    <x v="3"/>
    <x v="0"/>
    <x v="105"/>
  </r>
  <r>
    <x v="132"/>
    <s v="2025-05-24"/>
    <s v="Pooja"/>
    <s v="P032"/>
    <s v="Choco Fudge Squares"/>
    <x v="3"/>
    <n v="14"/>
    <n v="130"/>
    <n v="15"/>
    <x v="125"/>
    <x v="1"/>
    <x v="5"/>
    <x v="106"/>
  </r>
  <r>
    <x v="133"/>
    <s v="2025-01-11"/>
    <s v="Sneha"/>
    <s v="P027"/>
    <s v="Premium Cocoa Slabs"/>
    <x v="1"/>
    <n v="7"/>
    <n v="135"/>
    <n v="0"/>
    <x v="126"/>
    <x v="3"/>
    <x v="3"/>
    <x v="107"/>
  </r>
  <r>
    <x v="134"/>
    <s v="2025-06-12"/>
    <s v="Amit"/>
    <s v="P031"/>
    <s v="Honey Almond Chocolate"/>
    <x v="0"/>
    <n v="1"/>
    <n v="119"/>
    <n v="10"/>
    <x v="127"/>
    <x v="3"/>
    <x v="0"/>
    <x v="108"/>
  </r>
  <r>
    <x v="135"/>
    <s v="2025-04-18"/>
    <s v="Rohan"/>
    <s v="P037"/>
    <s v="Golden Caramel Bites"/>
    <x v="2"/>
    <n v="3"/>
    <n v="160"/>
    <n v="0"/>
    <x v="128"/>
    <x v="4"/>
    <x v="1"/>
    <x v="109"/>
  </r>
  <r>
    <x v="136"/>
    <s v="2025-01-31"/>
    <s v="Priya"/>
    <s v="P023"/>
    <s v="Coconut Delight Bar"/>
    <x v="2"/>
    <n v="6"/>
    <n v="37"/>
    <n v="10"/>
    <x v="129"/>
    <x v="4"/>
    <x v="3"/>
    <x v="110"/>
  </r>
  <r>
    <x v="137"/>
    <s v="2025-01-30"/>
    <s v="Arjun"/>
    <s v="P021"/>
    <s v="Orange Zest Chocolate"/>
    <x v="3"/>
    <n v="10"/>
    <n v="65"/>
    <n v="5"/>
    <x v="130"/>
    <x v="5"/>
    <x v="3"/>
    <x v="105"/>
  </r>
  <r>
    <x v="138"/>
    <s v="2025-06-29"/>
    <s v="Rohan"/>
    <s v="P008"/>
    <s v="Hazelnut Praline Chocolate"/>
    <x v="3"/>
    <n v="10"/>
    <n v="76"/>
    <n v="5"/>
    <x v="131"/>
    <x v="0"/>
    <x v="0"/>
    <x v="111"/>
  </r>
  <r>
    <x v="139"/>
    <s v="2025-06-21"/>
    <s v="Sneha"/>
    <s v="P009"/>
    <s v="Rose Pista Chocolate"/>
    <x v="4"/>
    <n v="14"/>
    <n v="96"/>
    <n v="15"/>
    <x v="132"/>
    <x v="5"/>
    <x v="0"/>
    <x v="112"/>
  </r>
  <r>
    <x v="140"/>
    <s v="2025-02-04"/>
    <s v="Sneha"/>
    <s v="P021"/>
    <s v="Orange Zest Chocolate"/>
    <x v="3"/>
    <n v="8"/>
    <n v="65"/>
    <n v="10"/>
    <x v="20"/>
    <x v="0"/>
    <x v="2"/>
    <x v="113"/>
  </r>
  <r>
    <x v="141"/>
    <s v="2025-02-07"/>
    <s v="Priya"/>
    <s v="P015"/>
    <s v="Caramel Crunch Cubes"/>
    <x v="4"/>
    <n v="8"/>
    <n v="158"/>
    <n v="15"/>
    <x v="133"/>
    <x v="0"/>
    <x v="2"/>
    <x v="114"/>
  </r>
  <r>
    <x v="142"/>
    <s v="2025-03-12"/>
    <s v="Amit"/>
    <s v="P019"/>
    <s v="White Chocolate Truffle"/>
    <x v="1"/>
    <n v="14"/>
    <n v="95"/>
    <n v="0"/>
    <x v="134"/>
    <x v="4"/>
    <x v="4"/>
    <x v="115"/>
  </r>
  <r>
    <x v="143"/>
    <s v="2025-01-25"/>
    <s v="Priya"/>
    <s v="P039"/>
    <s v="Luxury Praline Box"/>
    <x v="4"/>
    <n v="8"/>
    <n v="181"/>
    <n v="10"/>
    <x v="135"/>
    <x v="1"/>
    <x v="3"/>
    <x v="101"/>
  </r>
  <r>
    <x v="144"/>
    <s v="2025-05-30"/>
    <s v="Amit"/>
    <s v="P030"/>
    <s v="Royal Dryfruit Mix"/>
    <x v="0"/>
    <n v="2"/>
    <n v="135"/>
    <n v="5"/>
    <x v="136"/>
    <x v="5"/>
    <x v="5"/>
    <x v="60"/>
  </r>
  <r>
    <x v="145"/>
    <s v="2025-04-30"/>
    <s v="Pooja"/>
    <s v="P037"/>
    <s v="Golden Caramel Bites"/>
    <x v="2"/>
    <n v="2"/>
    <n v="160"/>
    <n v="10"/>
    <x v="117"/>
    <x v="5"/>
    <x v="1"/>
    <x v="97"/>
  </r>
  <r>
    <x v="146"/>
    <s v="2025-02-22"/>
    <s v="Neha"/>
    <s v="P012"/>
    <s v="Cashew Delight Bites"/>
    <x v="0"/>
    <n v="2"/>
    <n v="98"/>
    <n v="10"/>
    <x v="137"/>
    <x v="3"/>
    <x v="2"/>
    <x v="56"/>
  </r>
  <r>
    <x v="147"/>
    <s v="2025-04-01"/>
    <s v="Arjun"/>
    <s v="P038"/>
    <s v="Choco Biscuit Pops"/>
    <x v="3"/>
    <n v="4"/>
    <n v="113"/>
    <n v="0"/>
    <x v="138"/>
    <x v="0"/>
    <x v="1"/>
    <x v="116"/>
  </r>
  <r>
    <x v="148"/>
    <s v="2025-04-12"/>
    <s v="Vikas"/>
    <s v="P028"/>
    <s v="Butterscotch Crunch Bar"/>
    <x v="1"/>
    <n v="5"/>
    <n v="109"/>
    <n v="0"/>
    <x v="139"/>
    <x v="5"/>
    <x v="1"/>
    <x v="117"/>
  </r>
  <r>
    <x v="149"/>
    <s v="2025-03-08"/>
    <s v="Anjali"/>
    <s v="P008"/>
    <s v="Hazelnut Praline Chocolate"/>
    <x v="3"/>
    <n v="10"/>
    <n v="76"/>
    <n v="15"/>
    <x v="140"/>
    <x v="1"/>
    <x v="4"/>
    <x v="111"/>
  </r>
  <r>
    <x v="150"/>
    <s v="2025-03-16"/>
    <s v="Anjali"/>
    <s v="P035"/>
    <s v="Velvet Truffle Bites"/>
    <x v="0"/>
    <n v="9"/>
    <n v="199"/>
    <n v="15"/>
    <x v="141"/>
    <x v="4"/>
    <x v="4"/>
    <x v="118"/>
  </r>
  <r>
    <x v="151"/>
    <s v="2025-05-17"/>
    <s v="Rohan"/>
    <s v="P028"/>
    <s v="Butterscotch Crunch Bar"/>
    <x v="1"/>
    <n v="3"/>
    <n v="109"/>
    <n v="5"/>
    <x v="142"/>
    <x v="0"/>
    <x v="5"/>
    <x v="109"/>
  </r>
  <r>
    <x v="152"/>
    <s v="2025-03-27"/>
    <s v="Rahul"/>
    <s v="P010"/>
    <s v="Dry Fruit Special Chocolate"/>
    <x v="1"/>
    <n v="14"/>
    <n v="160"/>
    <n v="15"/>
    <x v="143"/>
    <x v="5"/>
    <x v="4"/>
    <x v="119"/>
  </r>
  <r>
    <x v="153"/>
    <s v="2025-02-04"/>
    <s v="Kiran"/>
    <s v="P028"/>
    <s v="Butterscotch Crunch Bar"/>
    <x v="1"/>
    <n v="1"/>
    <n v="109"/>
    <n v="5"/>
    <x v="144"/>
    <x v="0"/>
    <x v="2"/>
    <x v="87"/>
  </r>
  <r>
    <x v="154"/>
    <s v="2025-06-17"/>
    <s v="Vikas"/>
    <s v="P038"/>
    <s v="Choco Biscuit Pops"/>
    <x v="3"/>
    <n v="3"/>
    <n v="113"/>
    <n v="0"/>
    <x v="145"/>
    <x v="3"/>
    <x v="0"/>
    <x v="120"/>
  </r>
  <r>
    <x v="155"/>
    <s v="2025-04-29"/>
    <s v="Rohan"/>
    <s v="P014"/>
    <s v="Dark Fantasy Squares"/>
    <x v="2"/>
    <n v="6"/>
    <n v="96"/>
    <n v="15"/>
    <x v="96"/>
    <x v="5"/>
    <x v="1"/>
    <x v="85"/>
  </r>
  <r>
    <x v="156"/>
    <s v="2025-02-09"/>
    <s v="Amit"/>
    <s v="P016"/>
    <s v="Nutella Filled Bites"/>
    <x v="0"/>
    <n v="12"/>
    <n v="89"/>
    <n v="15"/>
    <x v="146"/>
    <x v="5"/>
    <x v="2"/>
    <x v="121"/>
  </r>
  <r>
    <x v="157"/>
    <s v="2025-02-26"/>
    <s v="Anjali"/>
    <s v="P026"/>
    <s v="Silk Ganache Cubes"/>
    <x v="4"/>
    <n v="15"/>
    <n v="82"/>
    <n v="5"/>
    <x v="147"/>
    <x v="0"/>
    <x v="2"/>
    <x v="122"/>
  </r>
  <r>
    <x v="158"/>
    <s v="2025-02-22"/>
    <s v="Pooja"/>
    <s v="P030"/>
    <s v="Royal Dryfruit Mix"/>
    <x v="0"/>
    <n v="2"/>
    <n v="135"/>
    <n v="0"/>
    <x v="148"/>
    <x v="1"/>
    <x v="2"/>
    <x v="60"/>
  </r>
  <r>
    <x v="159"/>
    <s v="2025-01-13"/>
    <s v="Arjun"/>
    <s v="P018"/>
    <s v="Fruit &amp; Nut Chocolate"/>
    <x v="2"/>
    <n v="11"/>
    <n v="156"/>
    <n v="5"/>
    <x v="149"/>
    <x v="3"/>
    <x v="3"/>
    <x v="13"/>
  </r>
  <r>
    <x v="160"/>
    <s v="2025-01-22"/>
    <s v="Amit"/>
    <s v="P007"/>
    <s v="Choco Aura Custom Bar"/>
    <x v="3"/>
    <n v="11"/>
    <n v="128"/>
    <n v="10"/>
    <x v="150"/>
    <x v="2"/>
    <x v="3"/>
    <x v="123"/>
  </r>
  <r>
    <x v="161"/>
    <s v="2025-05-10"/>
    <s v="Kiran"/>
    <s v="P031"/>
    <s v="Honey Almond Chocolate"/>
    <x v="0"/>
    <n v="12"/>
    <n v="119"/>
    <n v="10"/>
    <x v="151"/>
    <x v="0"/>
    <x v="5"/>
    <x v="124"/>
  </r>
  <r>
    <x v="162"/>
    <s v="2025-06-28"/>
    <s v="Rohan"/>
    <s v="P007"/>
    <s v="Choco Aura Custom Bar"/>
    <x v="3"/>
    <n v="10"/>
    <n v="128"/>
    <n v="5"/>
    <x v="152"/>
    <x v="3"/>
    <x v="0"/>
    <x v="125"/>
  </r>
  <r>
    <x v="163"/>
    <s v="2025-02-11"/>
    <s v="Meera"/>
    <s v="P025"/>
    <s v="Berry Blast Chocolate"/>
    <x v="4"/>
    <n v="12"/>
    <n v="168"/>
    <n v="5"/>
    <x v="153"/>
    <x v="1"/>
    <x v="2"/>
    <x v="126"/>
  </r>
  <r>
    <x v="164"/>
    <s v="2025-04-09"/>
    <s v="Arjun"/>
    <s v="P009"/>
    <s v="Rose Pista Chocolate"/>
    <x v="4"/>
    <n v="11"/>
    <n v="96"/>
    <n v="5"/>
    <x v="154"/>
    <x v="4"/>
    <x v="1"/>
    <x v="127"/>
  </r>
  <r>
    <x v="165"/>
    <s v="2025-02-06"/>
    <s v="Pooja"/>
    <s v="P008"/>
    <s v="Hazelnut Praline Chocolate"/>
    <x v="3"/>
    <n v="15"/>
    <n v="76"/>
    <n v="5"/>
    <x v="155"/>
    <x v="0"/>
    <x v="2"/>
    <x v="48"/>
  </r>
  <r>
    <x v="166"/>
    <s v="2025-04-22"/>
    <s v="Kiran"/>
    <s v="P025"/>
    <s v="Berry Blast Chocolate"/>
    <x v="4"/>
    <n v="7"/>
    <n v="168"/>
    <n v="15"/>
    <x v="156"/>
    <x v="4"/>
    <x v="1"/>
    <x v="53"/>
  </r>
  <r>
    <x v="167"/>
    <s v="2025-03-07"/>
    <s v="Rohan"/>
    <s v="P034"/>
    <s v="Signature Cocoa Bars"/>
    <x v="0"/>
    <n v="1"/>
    <n v="154"/>
    <n v="10"/>
    <x v="157"/>
    <x v="2"/>
    <x v="4"/>
    <x v="128"/>
  </r>
  <r>
    <x v="168"/>
    <s v="2025-06-16"/>
    <s v="Arjun"/>
    <s v="P011"/>
    <s v="Almond Crunch Bar"/>
    <x v="1"/>
    <n v="9"/>
    <n v="90"/>
    <n v="0"/>
    <x v="158"/>
    <x v="3"/>
    <x v="0"/>
    <x v="76"/>
  </r>
  <r>
    <x v="169"/>
    <s v="2025-05-25"/>
    <s v="Rahul"/>
    <s v="P011"/>
    <s v="Almond Crunch Bar"/>
    <x v="1"/>
    <n v="2"/>
    <n v="90"/>
    <n v="5"/>
    <x v="17"/>
    <x v="0"/>
    <x v="5"/>
    <x v="17"/>
  </r>
  <r>
    <x v="170"/>
    <s v="2025-03-27"/>
    <s v="Meera"/>
    <s v="P021"/>
    <s v="Orange Zest Chocolate"/>
    <x v="3"/>
    <n v="9"/>
    <n v="65"/>
    <n v="15"/>
    <x v="159"/>
    <x v="4"/>
    <x v="4"/>
    <x v="46"/>
  </r>
  <r>
    <x v="171"/>
    <s v="2025-05-17"/>
    <s v="Rahul"/>
    <s v="P016"/>
    <s v="Nutella Filled Bites"/>
    <x v="0"/>
    <n v="14"/>
    <n v="89"/>
    <n v="10"/>
    <x v="160"/>
    <x v="5"/>
    <x v="5"/>
    <x v="10"/>
  </r>
  <r>
    <x v="172"/>
    <s v="2025-01-16"/>
    <s v="Amit"/>
    <s v="P025"/>
    <s v="Berry Blast Chocolate"/>
    <x v="4"/>
    <n v="7"/>
    <n v="168"/>
    <n v="10"/>
    <x v="161"/>
    <x v="2"/>
    <x v="3"/>
    <x v="53"/>
  </r>
  <r>
    <x v="173"/>
    <s v="2025-04-30"/>
    <s v="Neha"/>
    <s v="P015"/>
    <s v="Caramel Crunch Cubes"/>
    <x v="4"/>
    <n v="12"/>
    <n v="158"/>
    <n v="10"/>
    <x v="162"/>
    <x v="3"/>
    <x v="1"/>
    <x v="83"/>
  </r>
  <r>
    <x v="174"/>
    <s v="2025-06-19"/>
    <s v="Anjali"/>
    <s v="P003"/>
    <s v="Choco Crunch Cone"/>
    <x v="1"/>
    <n v="4"/>
    <n v="86"/>
    <n v="5"/>
    <x v="163"/>
    <x v="1"/>
    <x v="0"/>
    <x v="28"/>
  </r>
  <r>
    <x v="175"/>
    <s v="2025-02-15"/>
    <s v="Anjali"/>
    <s v="P030"/>
    <s v="Royal Dryfruit Mix"/>
    <x v="0"/>
    <n v="13"/>
    <n v="135"/>
    <n v="10"/>
    <x v="164"/>
    <x v="2"/>
    <x v="2"/>
    <x v="98"/>
  </r>
  <r>
    <x v="176"/>
    <s v="2025-03-30"/>
    <s v="Rohan"/>
    <s v="P026"/>
    <s v="Silk Ganache Cubes"/>
    <x v="4"/>
    <n v="11"/>
    <n v="82"/>
    <n v="0"/>
    <x v="165"/>
    <x v="2"/>
    <x v="4"/>
    <x v="129"/>
  </r>
  <r>
    <x v="177"/>
    <s v="2025-04-02"/>
    <s v="Neha"/>
    <s v="P009"/>
    <s v="Rose Pista Chocolate"/>
    <x v="4"/>
    <n v="4"/>
    <n v="96"/>
    <n v="0"/>
    <x v="166"/>
    <x v="5"/>
    <x v="1"/>
    <x v="31"/>
  </r>
  <r>
    <x v="178"/>
    <s v="2025-01-18"/>
    <s v="Arjun"/>
    <s v="P037"/>
    <s v="Golden Caramel Bites"/>
    <x v="2"/>
    <n v="10"/>
    <n v="160"/>
    <n v="15"/>
    <x v="167"/>
    <x v="5"/>
    <x v="3"/>
    <x v="130"/>
  </r>
  <r>
    <x v="179"/>
    <s v="2025-04-07"/>
    <s v="Anjali"/>
    <s v="P003"/>
    <s v="Choco Crunch Cone"/>
    <x v="1"/>
    <n v="9"/>
    <n v="86"/>
    <n v="10"/>
    <x v="168"/>
    <x v="3"/>
    <x v="1"/>
    <x v="32"/>
  </r>
  <r>
    <x v="180"/>
    <s v="2025-05-16"/>
    <s v="Rahul"/>
    <s v="P040"/>
    <s v="Festive Chocolate Pack"/>
    <x v="4"/>
    <n v="1"/>
    <n v="145"/>
    <n v="0"/>
    <x v="169"/>
    <x v="2"/>
    <x v="5"/>
    <x v="131"/>
  </r>
  <r>
    <x v="181"/>
    <s v="2025-03-04"/>
    <s v="Arjun"/>
    <s v="P027"/>
    <s v="Premium Cocoa Slabs"/>
    <x v="1"/>
    <n v="7"/>
    <n v="135"/>
    <n v="0"/>
    <x v="126"/>
    <x v="3"/>
    <x v="4"/>
    <x v="107"/>
  </r>
  <r>
    <x v="182"/>
    <s v="2025-01-28"/>
    <s v="Meera"/>
    <s v="P038"/>
    <s v="Choco Biscuit Pops"/>
    <x v="3"/>
    <n v="12"/>
    <n v="113"/>
    <n v="0"/>
    <x v="170"/>
    <x v="5"/>
    <x v="3"/>
    <x v="122"/>
  </r>
  <r>
    <x v="183"/>
    <s v="2025-05-14"/>
    <s v="Meera"/>
    <s v="P038"/>
    <s v="Choco Biscuit Pops"/>
    <x v="3"/>
    <n v="1"/>
    <n v="113"/>
    <n v="5"/>
    <x v="171"/>
    <x v="2"/>
    <x v="5"/>
    <x v="132"/>
  </r>
  <r>
    <x v="184"/>
    <s v="2025-04-03"/>
    <s v="Amit"/>
    <s v="P033"/>
    <s v="Milk Chocolate Coins"/>
    <x v="0"/>
    <n v="9"/>
    <n v="52"/>
    <n v="5"/>
    <x v="172"/>
    <x v="0"/>
    <x v="1"/>
    <x v="133"/>
  </r>
  <r>
    <x v="185"/>
    <s v="2025-06-25"/>
    <s v="Arjun"/>
    <s v="P033"/>
    <s v="Milk Chocolate Coins"/>
    <x v="0"/>
    <n v="15"/>
    <n v="52"/>
    <n v="10"/>
    <x v="173"/>
    <x v="4"/>
    <x v="0"/>
    <x v="134"/>
  </r>
  <r>
    <x v="186"/>
    <s v="2025-03-31"/>
    <s v="Anjali"/>
    <s v="P039"/>
    <s v="Luxury Praline Box"/>
    <x v="4"/>
    <n v="15"/>
    <n v="181"/>
    <n v="5"/>
    <x v="174"/>
    <x v="4"/>
    <x v="4"/>
    <x v="135"/>
  </r>
  <r>
    <x v="187"/>
    <s v="2025-02-20"/>
    <s v="Priya"/>
    <s v="P038"/>
    <s v="Choco Biscuit Pops"/>
    <x v="3"/>
    <n v="12"/>
    <n v="113"/>
    <n v="0"/>
    <x v="170"/>
    <x v="5"/>
    <x v="2"/>
    <x v="122"/>
  </r>
  <r>
    <x v="188"/>
    <s v="2025-01-17"/>
    <s v="Meera"/>
    <s v="P030"/>
    <s v="Royal Dryfruit Mix"/>
    <x v="0"/>
    <n v="11"/>
    <n v="135"/>
    <n v="15"/>
    <x v="110"/>
    <x v="3"/>
    <x v="3"/>
    <x v="94"/>
  </r>
  <r>
    <x v="189"/>
    <s v="2025-05-11"/>
    <s v="Rahul"/>
    <s v="P036"/>
    <s v="Classic Dark Chocolate"/>
    <x v="0"/>
    <n v="14"/>
    <n v="139"/>
    <n v="0"/>
    <x v="175"/>
    <x v="0"/>
    <x v="5"/>
    <x v="52"/>
  </r>
  <r>
    <x v="190"/>
    <s v="2025-02-14"/>
    <s v="Vikas"/>
    <s v="P025"/>
    <s v="Berry Blast Chocolate"/>
    <x v="4"/>
    <n v="13"/>
    <n v="168"/>
    <n v="10"/>
    <x v="176"/>
    <x v="1"/>
    <x v="2"/>
    <x v="73"/>
  </r>
  <r>
    <x v="191"/>
    <s v="2025-01-25"/>
    <s v="Meera"/>
    <s v="P029"/>
    <s v="Choco Lava Bites"/>
    <x v="2"/>
    <n v="12"/>
    <n v="100"/>
    <n v="0"/>
    <x v="177"/>
    <x v="0"/>
    <x v="3"/>
    <x v="127"/>
  </r>
  <r>
    <x v="192"/>
    <s v="2025-03-31"/>
    <s v="Anjali"/>
    <s v="P019"/>
    <s v="White Chocolate Truffle"/>
    <x v="1"/>
    <n v="3"/>
    <n v="95"/>
    <n v="15"/>
    <x v="178"/>
    <x v="4"/>
    <x v="4"/>
    <x v="136"/>
  </r>
  <r>
    <x v="193"/>
    <s v="2025-04-27"/>
    <s v="Arjun"/>
    <s v="P017"/>
    <s v="Kesar Milk Chocolate"/>
    <x v="0"/>
    <n v="3"/>
    <n v="151"/>
    <n v="15"/>
    <x v="179"/>
    <x v="5"/>
    <x v="1"/>
    <x v="27"/>
  </r>
  <r>
    <x v="194"/>
    <s v="2025-05-30"/>
    <s v="Anjali"/>
    <s v="P020"/>
    <s v="Coffee Mocha Bites"/>
    <x v="2"/>
    <n v="7"/>
    <n v="61"/>
    <n v="15"/>
    <x v="180"/>
    <x v="3"/>
    <x v="5"/>
    <x v="137"/>
  </r>
  <r>
    <x v="195"/>
    <s v="2025-05-22"/>
    <s v="Kiran"/>
    <s v="P027"/>
    <s v="Premium Cocoa Slabs"/>
    <x v="1"/>
    <n v="13"/>
    <n v="135"/>
    <n v="5"/>
    <x v="114"/>
    <x v="5"/>
    <x v="5"/>
    <x v="138"/>
  </r>
  <r>
    <x v="196"/>
    <s v="2025-05-09"/>
    <s v="Sneha"/>
    <s v="P017"/>
    <s v="Kesar Milk Chocolate"/>
    <x v="0"/>
    <n v="3"/>
    <n v="151"/>
    <n v="0"/>
    <x v="27"/>
    <x v="3"/>
    <x v="5"/>
    <x v="27"/>
  </r>
  <r>
    <x v="197"/>
    <s v="2025-06-20"/>
    <s v="Pooja"/>
    <s v="P007"/>
    <s v="Choco Aura Custom Bar"/>
    <x v="3"/>
    <n v="9"/>
    <n v="128"/>
    <n v="5"/>
    <x v="102"/>
    <x v="5"/>
    <x v="0"/>
    <x v="41"/>
  </r>
  <r>
    <x v="198"/>
    <s v="2025-02-21"/>
    <s v="Rahul"/>
    <s v="P003"/>
    <s v="Choco Crunch Cone"/>
    <x v="1"/>
    <n v="15"/>
    <n v="86"/>
    <n v="15"/>
    <x v="181"/>
    <x v="4"/>
    <x v="2"/>
    <x v="111"/>
  </r>
  <r>
    <x v="199"/>
    <s v="2025-01-28"/>
    <s v="Sneha"/>
    <s v="P005"/>
    <s v="Choco Dip Cookie"/>
    <x v="3"/>
    <n v="4"/>
    <n v="98"/>
    <n v="10"/>
    <x v="182"/>
    <x v="3"/>
    <x v="3"/>
    <x v="99"/>
  </r>
  <r>
    <x v="200"/>
    <s v="2025-06-25"/>
    <s v="Amit"/>
    <s v="P032"/>
    <s v="Choco Fudge Squares"/>
    <x v="3"/>
    <n v="2"/>
    <n v="130"/>
    <n v="10"/>
    <x v="93"/>
    <x v="2"/>
    <x v="0"/>
    <x v="139"/>
  </r>
  <r>
    <x v="201"/>
    <s v="2025-01-11"/>
    <s v="Anjali"/>
    <s v="P007"/>
    <s v="Choco Aura Custom Bar"/>
    <x v="3"/>
    <n v="9"/>
    <n v="128"/>
    <n v="0"/>
    <x v="60"/>
    <x v="1"/>
    <x v="3"/>
    <x v="41"/>
  </r>
  <r>
    <x v="202"/>
    <s v="2025-01-17"/>
    <s v="Sneha"/>
    <s v="P030"/>
    <s v="Royal Dryfruit Mix"/>
    <x v="0"/>
    <n v="12"/>
    <n v="135"/>
    <n v="15"/>
    <x v="183"/>
    <x v="0"/>
    <x v="3"/>
    <x v="104"/>
  </r>
  <r>
    <x v="203"/>
    <s v="2025-02-10"/>
    <s v="Arjun"/>
    <s v="P040"/>
    <s v="Festive Chocolate Pack"/>
    <x v="4"/>
    <n v="13"/>
    <n v="145"/>
    <n v="10"/>
    <x v="184"/>
    <x v="1"/>
    <x v="2"/>
    <x v="140"/>
  </r>
  <r>
    <x v="204"/>
    <s v="2025-01-30"/>
    <s v="Priya"/>
    <s v="P017"/>
    <s v="Kesar Milk Chocolate"/>
    <x v="0"/>
    <n v="6"/>
    <n v="151"/>
    <n v="10"/>
    <x v="185"/>
    <x v="4"/>
    <x v="3"/>
    <x v="141"/>
  </r>
  <r>
    <x v="205"/>
    <s v="2025-01-19"/>
    <s v="Anjali"/>
    <s v="P001"/>
    <s v="Choco Pie Popstick"/>
    <x v="2"/>
    <n v="8"/>
    <n v="74"/>
    <n v="10"/>
    <x v="186"/>
    <x v="2"/>
    <x v="3"/>
    <x v="142"/>
  </r>
  <r>
    <x v="206"/>
    <s v="2025-01-29"/>
    <s v="Arjun"/>
    <s v="P039"/>
    <s v="Luxury Praline Box"/>
    <x v="4"/>
    <n v="6"/>
    <n v="181"/>
    <n v="15"/>
    <x v="187"/>
    <x v="2"/>
    <x v="3"/>
    <x v="143"/>
  </r>
  <r>
    <x v="207"/>
    <s v="2025-05-21"/>
    <s v="Pooja"/>
    <s v="P019"/>
    <s v="White Chocolate Truffle"/>
    <x v="1"/>
    <n v="2"/>
    <n v="95"/>
    <n v="10"/>
    <x v="17"/>
    <x v="0"/>
    <x v="5"/>
    <x v="92"/>
  </r>
  <r>
    <x v="208"/>
    <s v="2025-04-14"/>
    <s v="Arjun"/>
    <s v="P010"/>
    <s v="Dry Fruit Special Chocolate"/>
    <x v="1"/>
    <n v="3"/>
    <n v="160"/>
    <n v="5"/>
    <x v="188"/>
    <x v="5"/>
    <x v="1"/>
    <x v="46"/>
  </r>
  <r>
    <x v="209"/>
    <s v="2025-02-26"/>
    <s v="Meera"/>
    <s v="P003"/>
    <s v="Choco Crunch Cone"/>
    <x v="1"/>
    <n v="6"/>
    <n v="86"/>
    <n v="5"/>
    <x v="189"/>
    <x v="3"/>
    <x v="2"/>
    <x v="144"/>
  </r>
  <r>
    <x v="210"/>
    <s v="2025-04-16"/>
    <s v="Pooja"/>
    <s v="P008"/>
    <s v="Hazelnut Praline Chocolate"/>
    <x v="3"/>
    <n v="14"/>
    <n v="76"/>
    <n v="15"/>
    <x v="190"/>
    <x v="2"/>
    <x v="1"/>
    <x v="145"/>
  </r>
  <r>
    <x v="211"/>
    <s v="2025-04-29"/>
    <s v="Neha"/>
    <s v="P018"/>
    <s v="Fruit &amp; Nut Chocolate"/>
    <x v="2"/>
    <n v="11"/>
    <n v="156"/>
    <n v="10"/>
    <x v="71"/>
    <x v="0"/>
    <x v="1"/>
    <x v="13"/>
  </r>
  <r>
    <x v="212"/>
    <s v="2025-04-08"/>
    <s v="Sneha"/>
    <s v="P013"/>
    <s v="Pistachio Fusion Chocolate"/>
    <x v="0"/>
    <n v="5"/>
    <n v="143"/>
    <n v="5"/>
    <x v="103"/>
    <x v="1"/>
    <x v="1"/>
    <x v="82"/>
  </r>
  <r>
    <x v="213"/>
    <s v="2025-06-24"/>
    <s v="Pooja"/>
    <s v="P032"/>
    <s v="Choco Fudge Squares"/>
    <x v="3"/>
    <n v="8"/>
    <n v="130"/>
    <n v="0"/>
    <x v="191"/>
    <x v="3"/>
    <x v="0"/>
    <x v="34"/>
  </r>
  <r>
    <x v="214"/>
    <s v="2025-02-28"/>
    <s v="Priya"/>
    <s v="P013"/>
    <s v="Pistachio Fusion Chocolate"/>
    <x v="0"/>
    <n v="1"/>
    <n v="143"/>
    <n v="15"/>
    <x v="192"/>
    <x v="5"/>
    <x v="2"/>
    <x v="0"/>
  </r>
  <r>
    <x v="215"/>
    <s v="2025-05-01"/>
    <s v="Priya"/>
    <s v="P027"/>
    <s v="Premium Cocoa Slabs"/>
    <x v="1"/>
    <n v="11"/>
    <n v="135"/>
    <n v="0"/>
    <x v="193"/>
    <x v="0"/>
    <x v="5"/>
    <x v="75"/>
  </r>
  <r>
    <x v="216"/>
    <s v="2025-01-17"/>
    <s v="Meera"/>
    <s v="P003"/>
    <s v="Choco Crunch Cone"/>
    <x v="1"/>
    <n v="7"/>
    <n v="86"/>
    <n v="15"/>
    <x v="194"/>
    <x v="2"/>
    <x v="3"/>
    <x v="146"/>
  </r>
  <r>
    <x v="217"/>
    <s v="2025-05-24"/>
    <s v="Amit"/>
    <s v="P027"/>
    <s v="Premium Cocoa Slabs"/>
    <x v="1"/>
    <n v="10"/>
    <n v="135"/>
    <n v="10"/>
    <x v="40"/>
    <x v="4"/>
    <x v="5"/>
    <x v="147"/>
  </r>
  <r>
    <x v="218"/>
    <s v="2025-02-22"/>
    <s v="Kiran"/>
    <s v="P018"/>
    <s v="Fruit &amp; Nut Chocolate"/>
    <x v="2"/>
    <n v="12"/>
    <n v="156"/>
    <n v="0"/>
    <x v="99"/>
    <x v="5"/>
    <x v="2"/>
    <x v="50"/>
  </r>
  <r>
    <x v="219"/>
    <s v="2025-01-23"/>
    <s v="Anjali"/>
    <s v="P017"/>
    <s v="Kesar Milk Chocolate"/>
    <x v="0"/>
    <n v="3"/>
    <n v="151"/>
    <n v="0"/>
    <x v="27"/>
    <x v="4"/>
    <x v="3"/>
    <x v="27"/>
  </r>
  <r>
    <x v="220"/>
    <s v="2025-04-29"/>
    <s v="Meera"/>
    <s v="P006"/>
    <s v="Love Loaded Chocolate Bar"/>
    <x v="4"/>
    <n v="8"/>
    <n v="140"/>
    <n v="0"/>
    <x v="195"/>
    <x v="3"/>
    <x v="1"/>
    <x v="37"/>
  </r>
  <r>
    <x v="221"/>
    <s v="2025-06-25"/>
    <s v="Neha"/>
    <s v="P008"/>
    <s v="Hazelnut Praline Chocolate"/>
    <x v="3"/>
    <n v="15"/>
    <n v="76"/>
    <n v="0"/>
    <x v="196"/>
    <x v="0"/>
    <x v="0"/>
    <x v="48"/>
  </r>
  <r>
    <x v="222"/>
    <s v="2025-01-15"/>
    <s v="Priya"/>
    <s v="P010"/>
    <s v="Dry Fruit Special Chocolate"/>
    <x v="1"/>
    <n v="6"/>
    <n v="160"/>
    <n v="5"/>
    <x v="197"/>
    <x v="0"/>
    <x v="3"/>
    <x v="25"/>
  </r>
  <r>
    <x v="223"/>
    <s v="2025-01-12"/>
    <s v="Vikas"/>
    <s v="P022"/>
    <s v="Mint Choco Squares"/>
    <x v="4"/>
    <n v="3"/>
    <n v="147"/>
    <n v="5"/>
    <x v="198"/>
    <x v="4"/>
    <x v="3"/>
    <x v="49"/>
  </r>
  <r>
    <x v="224"/>
    <s v="2025-04-24"/>
    <s v="Rohan"/>
    <s v="P016"/>
    <s v="Nutella Filled Bites"/>
    <x v="0"/>
    <n v="10"/>
    <n v="89"/>
    <n v="15"/>
    <x v="199"/>
    <x v="3"/>
    <x v="1"/>
    <x v="148"/>
  </r>
  <r>
    <x v="225"/>
    <s v="2025-02-11"/>
    <s v="Meera"/>
    <s v="P020"/>
    <s v="Coffee Mocha Bites"/>
    <x v="2"/>
    <n v="2"/>
    <n v="61"/>
    <n v="15"/>
    <x v="200"/>
    <x v="1"/>
    <x v="2"/>
    <x v="149"/>
  </r>
  <r>
    <x v="226"/>
    <s v="2025-05-17"/>
    <s v="Kiran"/>
    <s v="P023"/>
    <s v="Coconut Delight Bar"/>
    <x v="2"/>
    <n v="1"/>
    <n v="37"/>
    <n v="15"/>
    <x v="201"/>
    <x v="4"/>
    <x v="5"/>
    <x v="150"/>
  </r>
  <r>
    <x v="227"/>
    <s v="2025-01-05"/>
    <s v="Anjali"/>
    <s v="P009"/>
    <s v="Rose Pista Chocolate"/>
    <x v="4"/>
    <n v="5"/>
    <n v="96"/>
    <n v="5"/>
    <x v="188"/>
    <x v="2"/>
    <x v="3"/>
    <x v="144"/>
  </r>
  <r>
    <x v="228"/>
    <s v="2025-03-08"/>
    <s v="Arjun"/>
    <s v="P040"/>
    <s v="Festive Chocolate Pack"/>
    <x v="4"/>
    <n v="8"/>
    <n v="145"/>
    <n v="5"/>
    <x v="202"/>
    <x v="2"/>
    <x v="4"/>
    <x v="151"/>
  </r>
  <r>
    <x v="229"/>
    <s v="2025-03-08"/>
    <s v="Neha"/>
    <s v="P015"/>
    <s v="Caramel Crunch Cubes"/>
    <x v="4"/>
    <n v="1"/>
    <n v="158"/>
    <n v="15"/>
    <x v="112"/>
    <x v="5"/>
    <x v="4"/>
    <x v="96"/>
  </r>
  <r>
    <x v="230"/>
    <s v="2025-06-17"/>
    <s v="Pooja"/>
    <s v="P011"/>
    <s v="Almond Crunch Bar"/>
    <x v="1"/>
    <n v="11"/>
    <n v="90"/>
    <n v="15"/>
    <x v="43"/>
    <x v="2"/>
    <x v="0"/>
    <x v="152"/>
  </r>
  <r>
    <x v="231"/>
    <s v="2025-02-13"/>
    <s v="Sneha"/>
    <s v="P035"/>
    <s v="Velvet Truffle Bites"/>
    <x v="0"/>
    <n v="14"/>
    <n v="199"/>
    <n v="0"/>
    <x v="203"/>
    <x v="2"/>
    <x v="2"/>
    <x v="153"/>
  </r>
  <r>
    <x v="232"/>
    <s v="2025-03-30"/>
    <s v="Arjun"/>
    <s v="P024"/>
    <s v="Crunchy Wafer Chocolate"/>
    <x v="1"/>
    <n v="5"/>
    <n v="144"/>
    <n v="5"/>
    <x v="204"/>
    <x v="2"/>
    <x v="4"/>
    <x v="29"/>
  </r>
  <r>
    <x v="233"/>
    <s v="2025-02-06"/>
    <s v="Arjun"/>
    <s v="P002"/>
    <s v="Kunafa Bites"/>
    <x v="3"/>
    <n v="6"/>
    <n v="146"/>
    <n v="15"/>
    <x v="205"/>
    <x v="0"/>
    <x v="2"/>
    <x v="111"/>
  </r>
  <r>
    <x v="234"/>
    <s v="2025-05-13"/>
    <s v="Pooja"/>
    <s v="P020"/>
    <s v="Coffee Mocha Bites"/>
    <x v="2"/>
    <n v="14"/>
    <n v="61"/>
    <n v="5"/>
    <x v="206"/>
    <x v="4"/>
    <x v="5"/>
    <x v="154"/>
  </r>
  <r>
    <x v="235"/>
    <s v="2025-05-24"/>
    <s v="Rohan"/>
    <s v="P022"/>
    <s v="Mint Choco Squares"/>
    <x v="4"/>
    <n v="1"/>
    <n v="147"/>
    <n v="0"/>
    <x v="207"/>
    <x v="3"/>
    <x v="5"/>
    <x v="155"/>
  </r>
  <r>
    <x v="236"/>
    <s v="2025-06-19"/>
    <s v="Anjali"/>
    <s v="P024"/>
    <s v="Crunchy Wafer Chocolate"/>
    <x v="1"/>
    <n v="1"/>
    <n v="144"/>
    <n v="5"/>
    <x v="208"/>
    <x v="1"/>
    <x v="0"/>
    <x v="156"/>
  </r>
  <r>
    <x v="237"/>
    <s v="2025-04-20"/>
    <s v="Neha"/>
    <s v="P010"/>
    <s v="Dry Fruit Special Chocolate"/>
    <x v="1"/>
    <n v="4"/>
    <n v="160"/>
    <n v="10"/>
    <x v="104"/>
    <x v="2"/>
    <x v="1"/>
    <x v="127"/>
  </r>
  <r>
    <x v="238"/>
    <s v="2025-05-15"/>
    <s v="Meera"/>
    <s v="P013"/>
    <s v="Pistachio Fusion Chocolate"/>
    <x v="0"/>
    <n v="3"/>
    <n v="143"/>
    <n v="0"/>
    <x v="209"/>
    <x v="2"/>
    <x v="5"/>
    <x v="157"/>
  </r>
  <r>
    <x v="239"/>
    <s v="2025-01-21"/>
    <s v="Vikas"/>
    <s v="P017"/>
    <s v="Kesar Milk Chocolate"/>
    <x v="0"/>
    <n v="13"/>
    <n v="151"/>
    <n v="5"/>
    <x v="210"/>
    <x v="5"/>
    <x v="3"/>
    <x v="158"/>
  </r>
  <r>
    <x v="240"/>
    <s v="2025-06-08"/>
    <s v="Priya"/>
    <s v="P022"/>
    <s v="Mint Choco Squares"/>
    <x v="4"/>
    <n v="9"/>
    <n v="147"/>
    <n v="10"/>
    <x v="211"/>
    <x v="3"/>
    <x v="0"/>
    <x v="84"/>
  </r>
  <r>
    <x v="241"/>
    <s v="2025-02-08"/>
    <s v="Arjun"/>
    <s v="P001"/>
    <s v="Choco Pie Popstick"/>
    <x v="2"/>
    <n v="9"/>
    <n v="74"/>
    <n v="10"/>
    <x v="212"/>
    <x v="4"/>
    <x v="2"/>
    <x v="30"/>
  </r>
  <r>
    <x v="242"/>
    <s v="2025-05-25"/>
    <s v="Meera"/>
    <s v="P012"/>
    <s v="Cashew Delight Bites"/>
    <x v="0"/>
    <n v="14"/>
    <n v="98"/>
    <n v="10"/>
    <x v="213"/>
    <x v="4"/>
    <x v="5"/>
    <x v="23"/>
  </r>
  <r>
    <x v="243"/>
    <s v="2025-06-04"/>
    <s v="Neha"/>
    <s v="P003"/>
    <s v="Choco Crunch Cone"/>
    <x v="1"/>
    <n v="12"/>
    <n v="86"/>
    <n v="10"/>
    <x v="214"/>
    <x v="0"/>
    <x v="0"/>
    <x v="42"/>
  </r>
  <r>
    <x v="244"/>
    <s v="2025-05-28"/>
    <s v="Vikas"/>
    <s v="P010"/>
    <s v="Dry Fruit Special Chocolate"/>
    <x v="1"/>
    <n v="6"/>
    <n v="160"/>
    <n v="5"/>
    <x v="197"/>
    <x v="2"/>
    <x v="5"/>
    <x v="25"/>
  </r>
  <r>
    <x v="245"/>
    <s v="2025-01-19"/>
    <s v="Sneha"/>
    <s v="P007"/>
    <s v="Choco Aura Custom Bar"/>
    <x v="3"/>
    <n v="4"/>
    <n v="128"/>
    <n v="0"/>
    <x v="215"/>
    <x v="5"/>
    <x v="3"/>
    <x v="7"/>
  </r>
  <r>
    <x v="246"/>
    <s v="2025-03-24"/>
    <s v="Amit"/>
    <s v="P010"/>
    <s v="Dry Fruit Special Chocolate"/>
    <x v="1"/>
    <n v="3"/>
    <n v="160"/>
    <n v="5"/>
    <x v="188"/>
    <x v="0"/>
    <x v="4"/>
    <x v="46"/>
  </r>
  <r>
    <x v="247"/>
    <s v="2025-01-03"/>
    <s v="Vikas"/>
    <s v="P028"/>
    <s v="Butterscotch Crunch Bar"/>
    <x v="1"/>
    <n v="13"/>
    <n v="109"/>
    <n v="10"/>
    <x v="80"/>
    <x v="2"/>
    <x v="3"/>
    <x v="73"/>
  </r>
  <r>
    <x v="248"/>
    <s v="2025-03-22"/>
    <s v="Vikas"/>
    <s v="P003"/>
    <s v="Choco Crunch Cone"/>
    <x v="1"/>
    <n v="4"/>
    <n v="86"/>
    <n v="5"/>
    <x v="163"/>
    <x v="1"/>
    <x v="4"/>
    <x v="28"/>
  </r>
  <r>
    <x v="249"/>
    <s v="2025-01-11"/>
    <s v="Sneha"/>
    <s v="P011"/>
    <s v="Almond Crunch Bar"/>
    <x v="1"/>
    <n v="13"/>
    <n v="90"/>
    <n v="15"/>
    <x v="216"/>
    <x v="4"/>
    <x v="3"/>
    <x v="159"/>
  </r>
  <r>
    <x v="250"/>
    <s v="2025-05-16"/>
    <s v="Pooja"/>
    <s v="P010"/>
    <s v="Dry Fruit Special Chocolate"/>
    <x v="1"/>
    <n v="9"/>
    <n v="160"/>
    <n v="0"/>
    <x v="217"/>
    <x v="0"/>
    <x v="5"/>
    <x v="102"/>
  </r>
  <r>
    <x v="251"/>
    <s v="2025-03-29"/>
    <s v="Vikas"/>
    <s v="P032"/>
    <s v="Choco Fudge Squares"/>
    <x v="3"/>
    <n v="4"/>
    <n v="130"/>
    <n v="10"/>
    <x v="20"/>
    <x v="5"/>
    <x v="4"/>
    <x v="32"/>
  </r>
  <r>
    <x v="252"/>
    <s v="2025-05-31"/>
    <s v="Rohan"/>
    <s v="P026"/>
    <s v="Silk Ganache Cubes"/>
    <x v="4"/>
    <n v="15"/>
    <n v="82"/>
    <n v="15"/>
    <x v="218"/>
    <x v="5"/>
    <x v="5"/>
    <x v="122"/>
  </r>
  <r>
    <x v="253"/>
    <s v="2025-05-16"/>
    <s v="Neha"/>
    <s v="P024"/>
    <s v="Crunchy Wafer Chocolate"/>
    <x v="1"/>
    <n v="15"/>
    <n v="144"/>
    <n v="0"/>
    <x v="219"/>
    <x v="4"/>
    <x v="5"/>
    <x v="160"/>
  </r>
  <r>
    <x v="254"/>
    <s v="2025-05-03"/>
    <s v="Sneha"/>
    <s v="P032"/>
    <s v="Choco Fudge Squares"/>
    <x v="3"/>
    <n v="9"/>
    <n v="130"/>
    <n v="5"/>
    <x v="78"/>
    <x v="0"/>
    <x v="5"/>
    <x v="72"/>
  </r>
  <r>
    <x v="255"/>
    <s v="2025-04-25"/>
    <s v="Sneha"/>
    <s v="P021"/>
    <s v="Orange Zest Chocolate"/>
    <x v="3"/>
    <n v="8"/>
    <n v="65"/>
    <n v="0"/>
    <x v="62"/>
    <x v="1"/>
    <x v="1"/>
    <x v="113"/>
  </r>
  <r>
    <x v="256"/>
    <s v="2025-04-25"/>
    <s v="Arjun"/>
    <s v="P033"/>
    <s v="Milk Chocolate Coins"/>
    <x v="0"/>
    <n v="6"/>
    <n v="52"/>
    <n v="0"/>
    <x v="220"/>
    <x v="4"/>
    <x v="1"/>
    <x v="161"/>
  </r>
  <r>
    <x v="257"/>
    <s v="2025-06-17"/>
    <s v="Neha"/>
    <s v="P027"/>
    <s v="Premium Cocoa Slabs"/>
    <x v="1"/>
    <n v="3"/>
    <n v="135"/>
    <n v="10"/>
    <x v="221"/>
    <x v="5"/>
    <x v="0"/>
    <x v="162"/>
  </r>
  <r>
    <x v="258"/>
    <s v="2025-06-08"/>
    <s v="Neha"/>
    <s v="P012"/>
    <s v="Cashew Delight Bites"/>
    <x v="0"/>
    <n v="13"/>
    <n v="98"/>
    <n v="10"/>
    <x v="222"/>
    <x v="2"/>
    <x v="0"/>
    <x v="163"/>
  </r>
  <r>
    <x v="259"/>
    <s v="2025-03-21"/>
    <s v="Anjali"/>
    <s v="P027"/>
    <s v="Premium Cocoa Slabs"/>
    <x v="1"/>
    <n v="8"/>
    <n v="135"/>
    <n v="0"/>
    <x v="223"/>
    <x v="4"/>
    <x v="4"/>
    <x v="164"/>
  </r>
  <r>
    <x v="260"/>
    <s v="2025-02-12"/>
    <s v="Anjali"/>
    <s v="P024"/>
    <s v="Crunchy Wafer Chocolate"/>
    <x v="1"/>
    <n v="7"/>
    <n v="144"/>
    <n v="15"/>
    <x v="224"/>
    <x v="5"/>
    <x v="2"/>
    <x v="165"/>
  </r>
  <r>
    <x v="261"/>
    <s v="2025-04-27"/>
    <s v="Kiran"/>
    <s v="P027"/>
    <s v="Premium Cocoa Slabs"/>
    <x v="1"/>
    <n v="7"/>
    <n v="135"/>
    <n v="0"/>
    <x v="126"/>
    <x v="2"/>
    <x v="1"/>
    <x v="107"/>
  </r>
  <r>
    <x v="262"/>
    <s v="2025-06-01"/>
    <s v="Rohan"/>
    <s v="P024"/>
    <s v="Crunchy Wafer Chocolate"/>
    <x v="1"/>
    <n v="13"/>
    <n v="144"/>
    <n v="15"/>
    <x v="225"/>
    <x v="4"/>
    <x v="0"/>
    <x v="166"/>
  </r>
  <r>
    <x v="263"/>
    <s v="2025-03-24"/>
    <s v="Sneha"/>
    <s v="P017"/>
    <s v="Kesar Milk Chocolate"/>
    <x v="0"/>
    <n v="10"/>
    <n v="151"/>
    <n v="15"/>
    <x v="226"/>
    <x v="1"/>
    <x v="4"/>
    <x v="125"/>
  </r>
  <r>
    <x v="264"/>
    <s v="2025-06-28"/>
    <s v="Sneha"/>
    <s v="P002"/>
    <s v="Kunafa Bites"/>
    <x v="3"/>
    <n v="3"/>
    <n v="146"/>
    <n v="10"/>
    <x v="227"/>
    <x v="1"/>
    <x v="0"/>
    <x v="120"/>
  </r>
  <r>
    <x v="265"/>
    <s v="2025-01-20"/>
    <s v="Arjun"/>
    <s v="P030"/>
    <s v="Royal Dryfruit Mix"/>
    <x v="0"/>
    <n v="3"/>
    <n v="135"/>
    <n v="5"/>
    <x v="228"/>
    <x v="4"/>
    <x v="3"/>
    <x v="42"/>
  </r>
  <r>
    <x v="266"/>
    <s v="2025-01-19"/>
    <s v="Arjun"/>
    <s v="P010"/>
    <s v="Dry Fruit Special Chocolate"/>
    <x v="1"/>
    <n v="10"/>
    <n v="160"/>
    <n v="5"/>
    <x v="229"/>
    <x v="3"/>
    <x v="3"/>
    <x v="126"/>
  </r>
  <r>
    <x v="267"/>
    <s v="2025-03-22"/>
    <s v="Meera"/>
    <s v="P026"/>
    <s v="Silk Ganache Cubes"/>
    <x v="4"/>
    <n v="12"/>
    <n v="82"/>
    <n v="15"/>
    <x v="230"/>
    <x v="2"/>
    <x v="4"/>
    <x v="103"/>
  </r>
  <r>
    <x v="268"/>
    <s v="2025-01-29"/>
    <s v="Rahul"/>
    <s v="P013"/>
    <s v="Pistachio Fusion Chocolate"/>
    <x v="0"/>
    <n v="10"/>
    <n v="143"/>
    <n v="15"/>
    <x v="231"/>
    <x v="4"/>
    <x v="3"/>
    <x v="145"/>
  </r>
  <r>
    <x v="269"/>
    <s v="2025-04-10"/>
    <s v="Vikas"/>
    <s v="P002"/>
    <s v="Kunafa Bites"/>
    <x v="3"/>
    <n v="9"/>
    <n v="146"/>
    <n v="0"/>
    <x v="50"/>
    <x v="2"/>
    <x v="1"/>
    <x v="48"/>
  </r>
  <r>
    <x v="270"/>
    <s v="2025-02-21"/>
    <s v="Pooja"/>
    <s v="P034"/>
    <s v="Signature Cocoa Bars"/>
    <x v="0"/>
    <n v="5"/>
    <n v="154"/>
    <n v="15"/>
    <x v="232"/>
    <x v="4"/>
    <x v="2"/>
    <x v="167"/>
  </r>
  <r>
    <x v="271"/>
    <s v="2025-01-04"/>
    <s v="Neha"/>
    <s v="P008"/>
    <s v="Hazelnut Praline Chocolate"/>
    <x v="3"/>
    <n v="4"/>
    <n v="76"/>
    <n v="5"/>
    <x v="233"/>
    <x v="2"/>
    <x v="3"/>
    <x v="144"/>
  </r>
  <r>
    <x v="272"/>
    <s v="2025-01-30"/>
    <s v="Anjali"/>
    <s v="P033"/>
    <s v="Milk Chocolate Coins"/>
    <x v="0"/>
    <n v="6"/>
    <n v="52"/>
    <n v="10"/>
    <x v="234"/>
    <x v="3"/>
    <x v="3"/>
    <x v="161"/>
  </r>
  <r>
    <x v="273"/>
    <s v="2025-02-14"/>
    <s v="Sneha"/>
    <s v="P014"/>
    <s v="Dark Fantasy Squares"/>
    <x v="2"/>
    <n v="7"/>
    <n v="96"/>
    <n v="10"/>
    <x v="235"/>
    <x v="3"/>
    <x v="2"/>
    <x v="168"/>
  </r>
  <r>
    <x v="274"/>
    <s v="2025-06-26"/>
    <s v="Arjun"/>
    <s v="P036"/>
    <s v="Classic Dark Chocolate"/>
    <x v="0"/>
    <n v="9"/>
    <n v="139"/>
    <n v="5"/>
    <x v="236"/>
    <x v="5"/>
    <x v="0"/>
    <x v="106"/>
  </r>
  <r>
    <x v="275"/>
    <s v="2025-05-19"/>
    <s v="Neha"/>
    <s v="P026"/>
    <s v="Silk Ganache Cubes"/>
    <x v="4"/>
    <n v="4"/>
    <n v="82"/>
    <n v="10"/>
    <x v="237"/>
    <x v="3"/>
    <x v="5"/>
    <x v="60"/>
  </r>
  <r>
    <x v="276"/>
    <s v="2025-04-12"/>
    <s v="Arjun"/>
    <s v="P015"/>
    <s v="Caramel Crunch Cubes"/>
    <x v="4"/>
    <n v="10"/>
    <n v="158"/>
    <n v="0"/>
    <x v="238"/>
    <x v="0"/>
    <x v="1"/>
    <x v="169"/>
  </r>
  <r>
    <x v="277"/>
    <s v="2025-05-03"/>
    <s v="Priya"/>
    <s v="P009"/>
    <s v="Rose Pista Chocolate"/>
    <x v="4"/>
    <n v="11"/>
    <n v="96"/>
    <n v="10"/>
    <x v="239"/>
    <x v="3"/>
    <x v="5"/>
    <x v="127"/>
  </r>
  <r>
    <x v="278"/>
    <s v="2025-02-14"/>
    <s v="Neha"/>
    <s v="P032"/>
    <s v="Choco Fudge Squares"/>
    <x v="3"/>
    <n v="2"/>
    <n v="130"/>
    <n v="0"/>
    <x v="240"/>
    <x v="4"/>
    <x v="2"/>
    <x v="139"/>
  </r>
  <r>
    <x v="279"/>
    <s v="2025-05-13"/>
    <s v="Arjun"/>
    <s v="P025"/>
    <s v="Berry Blast Chocolate"/>
    <x v="4"/>
    <n v="15"/>
    <n v="168"/>
    <n v="0"/>
    <x v="241"/>
    <x v="0"/>
    <x v="5"/>
    <x v="170"/>
  </r>
  <r>
    <x v="280"/>
    <s v="2025-04-20"/>
    <s v="Anjali"/>
    <s v="P018"/>
    <s v="Fruit &amp; Nut Chocolate"/>
    <x v="2"/>
    <n v="10"/>
    <n v="156"/>
    <n v="10"/>
    <x v="242"/>
    <x v="3"/>
    <x v="1"/>
    <x v="106"/>
  </r>
  <r>
    <x v="281"/>
    <s v="2025-02-20"/>
    <s v="Anjali"/>
    <s v="P035"/>
    <s v="Velvet Truffle Bites"/>
    <x v="0"/>
    <n v="12"/>
    <n v="199"/>
    <n v="5"/>
    <x v="243"/>
    <x v="0"/>
    <x v="2"/>
    <x v="171"/>
  </r>
  <r>
    <x v="282"/>
    <s v="2025-02-20"/>
    <s v="Rohan"/>
    <s v="P023"/>
    <s v="Coconut Delight Bar"/>
    <x v="2"/>
    <n v="6"/>
    <n v="37"/>
    <n v="10"/>
    <x v="129"/>
    <x v="5"/>
    <x v="2"/>
    <x v="110"/>
  </r>
  <r>
    <x v="283"/>
    <s v="2025-04-01"/>
    <s v="Arjun"/>
    <s v="P012"/>
    <s v="Cashew Delight Bites"/>
    <x v="0"/>
    <n v="4"/>
    <n v="98"/>
    <n v="15"/>
    <x v="244"/>
    <x v="1"/>
    <x v="1"/>
    <x v="65"/>
  </r>
  <r>
    <x v="284"/>
    <s v="2025-02-08"/>
    <s v="Neha"/>
    <s v="P009"/>
    <s v="Rose Pista Chocolate"/>
    <x v="4"/>
    <n v="7"/>
    <n v="96"/>
    <n v="15"/>
    <x v="245"/>
    <x v="1"/>
    <x v="2"/>
    <x v="43"/>
  </r>
  <r>
    <x v="285"/>
    <s v="2025-05-18"/>
    <s v="Vikas"/>
    <s v="P020"/>
    <s v="Coffee Mocha Bites"/>
    <x v="2"/>
    <n v="15"/>
    <n v="61"/>
    <n v="5"/>
    <x v="246"/>
    <x v="2"/>
    <x v="5"/>
    <x v="172"/>
  </r>
  <r>
    <x v="286"/>
    <s v="2025-01-14"/>
    <s v="Neha"/>
    <s v="P036"/>
    <s v="Classic Dark Chocolate"/>
    <x v="0"/>
    <n v="13"/>
    <n v="139"/>
    <n v="10"/>
    <x v="247"/>
    <x v="1"/>
    <x v="3"/>
    <x v="10"/>
  </r>
  <r>
    <x v="287"/>
    <s v="2025-05-23"/>
    <s v="Rohan"/>
    <s v="P027"/>
    <s v="Premium Cocoa Slabs"/>
    <x v="1"/>
    <n v="8"/>
    <n v="135"/>
    <n v="0"/>
    <x v="223"/>
    <x v="3"/>
    <x v="5"/>
    <x v="164"/>
  </r>
  <r>
    <x v="288"/>
    <s v="2025-03-24"/>
    <s v="Sneha"/>
    <s v="P022"/>
    <s v="Mint Choco Squares"/>
    <x v="4"/>
    <n v="9"/>
    <n v="147"/>
    <n v="10"/>
    <x v="211"/>
    <x v="2"/>
    <x v="4"/>
    <x v="84"/>
  </r>
  <r>
    <x v="289"/>
    <s v="2025-06-28"/>
    <s v="Meera"/>
    <s v="P040"/>
    <s v="Festive Chocolate Pack"/>
    <x v="4"/>
    <n v="12"/>
    <n v="145"/>
    <n v="10"/>
    <x v="248"/>
    <x v="3"/>
    <x v="0"/>
    <x v="77"/>
  </r>
  <r>
    <x v="290"/>
    <s v="2025-01-07"/>
    <s v="Rohan"/>
    <s v="P034"/>
    <s v="Signature Cocoa Bars"/>
    <x v="0"/>
    <n v="1"/>
    <n v="154"/>
    <n v="5"/>
    <x v="249"/>
    <x v="1"/>
    <x v="3"/>
    <x v="128"/>
  </r>
  <r>
    <x v="291"/>
    <s v="2025-03-08"/>
    <s v="Priya"/>
    <s v="P008"/>
    <s v="Hazelnut Praline Chocolate"/>
    <x v="3"/>
    <n v="14"/>
    <n v="76"/>
    <n v="10"/>
    <x v="250"/>
    <x v="5"/>
    <x v="4"/>
    <x v="145"/>
  </r>
  <r>
    <x v="292"/>
    <s v="2025-01-02"/>
    <s v="Anjali"/>
    <s v="P034"/>
    <s v="Signature Cocoa Bars"/>
    <x v="0"/>
    <n v="15"/>
    <n v="154"/>
    <n v="5"/>
    <x v="251"/>
    <x v="2"/>
    <x v="3"/>
    <x v="71"/>
  </r>
  <r>
    <x v="293"/>
    <s v="2025-03-28"/>
    <s v="Anjali"/>
    <s v="P030"/>
    <s v="Royal Dryfruit Mix"/>
    <x v="0"/>
    <n v="9"/>
    <n v="135"/>
    <n v="5"/>
    <x v="252"/>
    <x v="4"/>
    <x v="4"/>
    <x v="173"/>
  </r>
  <r>
    <x v="294"/>
    <s v="2025-03-12"/>
    <s v="Arjun"/>
    <s v="P023"/>
    <s v="Coconut Delight Bar"/>
    <x v="2"/>
    <n v="11"/>
    <n v="37"/>
    <n v="15"/>
    <x v="253"/>
    <x v="4"/>
    <x v="4"/>
    <x v="163"/>
  </r>
  <r>
    <x v="295"/>
    <s v="2025-06-11"/>
    <s v="Vikas"/>
    <s v="P024"/>
    <s v="Crunchy Wafer Chocolate"/>
    <x v="1"/>
    <n v="10"/>
    <n v="144"/>
    <n v="15"/>
    <x v="120"/>
    <x v="4"/>
    <x v="0"/>
    <x v="174"/>
  </r>
  <r>
    <x v="296"/>
    <s v="2025-02-19"/>
    <s v="Pooja"/>
    <s v="P016"/>
    <s v="Nutella Filled Bites"/>
    <x v="0"/>
    <n v="12"/>
    <n v="89"/>
    <n v="15"/>
    <x v="146"/>
    <x v="4"/>
    <x v="2"/>
    <x v="121"/>
  </r>
  <r>
    <x v="297"/>
    <s v="2025-06-14"/>
    <s v="Meera"/>
    <s v="P035"/>
    <s v="Velvet Truffle Bites"/>
    <x v="0"/>
    <n v="5"/>
    <n v="199"/>
    <n v="15"/>
    <x v="254"/>
    <x v="3"/>
    <x v="0"/>
    <x v="51"/>
  </r>
  <r>
    <x v="298"/>
    <s v="2025-06-20"/>
    <s v="Pooja"/>
    <s v="P017"/>
    <s v="Kesar Milk Chocolate"/>
    <x v="0"/>
    <n v="3"/>
    <n v="151"/>
    <n v="0"/>
    <x v="27"/>
    <x v="1"/>
    <x v="0"/>
    <x v="27"/>
  </r>
  <r>
    <x v="299"/>
    <s v="2025-06-26"/>
    <s v="Rohan"/>
    <s v="P004"/>
    <s v="Duo Choco Bites"/>
    <x v="1"/>
    <n v="1"/>
    <n v="99"/>
    <n v="0"/>
    <x v="255"/>
    <x v="1"/>
    <x v="0"/>
    <x v="175"/>
  </r>
  <r>
    <x v="300"/>
    <s v="2025-06-01"/>
    <s v="Pooja"/>
    <s v="P003"/>
    <s v="Choco Crunch Cone"/>
    <x v="1"/>
    <n v="12"/>
    <n v="86"/>
    <n v="5"/>
    <x v="256"/>
    <x v="5"/>
    <x v="0"/>
    <x v="42"/>
  </r>
  <r>
    <x v="301"/>
    <s v="2025-06-09"/>
    <s v="Meera"/>
    <s v="P037"/>
    <s v="Golden Caramel Bites"/>
    <x v="2"/>
    <n v="15"/>
    <n v="160"/>
    <n v="5"/>
    <x v="257"/>
    <x v="2"/>
    <x v="0"/>
    <x v="170"/>
  </r>
  <r>
    <x v="302"/>
    <s v="2025-03-22"/>
    <s v="Kiran"/>
    <s v="P010"/>
    <s v="Dry Fruit Special Chocolate"/>
    <x v="1"/>
    <n v="14"/>
    <n v="160"/>
    <n v="10"/>
    <x v="258"/>
    <x v="0"/>
    <x v="4"/>
    <x v="119"/>
  </r>
  <r>
    <x v="303"/>
    <s v="2025-04-02"/>
    <s v="Anjali"/>
    <s v="P017"/>
    <s v="Kesar Milk Chocolate"/>
    <x v="0"/>
    <n v="1"/>
    <n v="151"/>
    <n v="5"/>
    <x v="259"/>
    <x v="2"/>
    <x v="1"/>
    <x v="3"/>
  </r>
  <r>
    <x v="304"/>
    <s v="2025-04-08"/>
    <s v="Arjun"/>
    <s v="P032"/>
    <s v="Choco Fudge Squares"/>
    <x v="3"/>
    <n v="8"/>
    <n v="130"/>
    <n v="15"/>
    <x v="260"/>
    <x v="2"/>
    <x v="1"/>
    <x v="34"/>
  </r>
  <r>
    <x v="305"/>
    <s v="2025-02-03"/>
    <s v="Rohan"/>
    <s v="P016"/>
    <s v="Nutella Filled Bites"/>
    <x v="0"/>
    <n v="7"/>
    <n v="89"/>
    <n v="0"/>
    <x v="261"/>
    <x v="4"/>
    <x v="2"/>
    <x v="176"/>
  </r>
  <r>
    <x v="306"/>
    <s v="2025-01-12"/>
    <s v="Arjun"/>
    <s v="P023"/>
    <s v="Coconut Delight Bar"/>
    <x v="2"/>
    <n v="14"/>
    <n v="37"/>
    <n v="0"/>
    <x v="262"/>
    <x v="0"/>
    <x v="3"/>
    <x v="177"/>
  </r>
  <r>
    <x v="307"/>
    <s v="2025-05-23"/>
    <s v="Pooja"/>
    <s v="P009"/>
    <s v="Rose Pista Chocolate"/>
    <x v="4"/>
    <n v="4"/>
    <n v="96"/>
    <n v="0"/>
    <x v="166"/>
    <x v="0"/>
    <x v="5"/>
    <x v="31"/>
  </r>
  <r>
    <x v="308"/>
    <s v="2025-06-05"/>
    <s v="Neha"/>
    <s v="P020"/>
    <s v="Coffee Mocha Bites"/>
    <x v="2"/>
    <n v="12"/>
    <n v="61"/>
    <n v="15"/>
    <x v="263"/>
    <x v="2"/>
    <x v="0"/>
    <x v="178"/>
  </r>
  <r>
    <x v="309"/>
    <s v="2025-04-11"/>
    <s v="Anjali"/>
    <s v="P024"/>
    <s v="Crunchy Wafer Chocolate"/>
    <x v="1"/>
    <n v="14"/>
    <n v="144"/>
    <n v="5"/>
    <x v="153"/>
    <x v="2"/>
    <x v="1"/>
    <x v="37"/>
  </r>
  <r>
    <x v="310"/>
    <s v="2025-04-17"/>
    <s v="Arjun"/>
    <s v="P006"/>
    <s v="Love Loaded Chocolate Bar"/>
    <x v="4"/>
    <n v="12"/>
    <n v="140"/>
    <n v="10"/>
    <x v="264"/>
    <x v="2"/>
    <x v="1"/>
    <x v="179"/>
  </r>
  <r>
    <x v="311"/>
    <s v="2025-02-02"/>
    <s v="Vikas"/>
    <s v="P004"/>
    <s v="Duo Choco Bites"/>
    <x v="1"/>
    <n v="8"/>
    <n v="99"/>
    <n v="0"/>
    <x v="265"/>
    <x v="1"/>
    <x v="2"/>
    <x v="180"/>
  </r>
  <r>
    <x v="312"/>
    <s v="2025-03-02"/>
    <s v="Rohan"/>
    <s v="P013"/>
    <s v="Pistachio Fusion Chocolate"/>
    <x v="0"/>
    <n v="15"/>
    <n v="143"/>
    <n v="10"/>
    <x v="266"/>
    <x v="3"/>
    <x v="4"/>
    <x v="106"/>
  </r>
  <r>
    <x v="313"/>
    <s v="2025-06-13"/>
    <s v="Vikas"/>
    <s v="P038"/>
    <s v="Choco Biscuit Pops"/>
    <x v="3"/>
    <n v="8"/>
    <n v="113"/>
    <n v="0"/>
    <x v="267"/>
    <x v="0"/>
    <x v="0"/>
    <x v="12"/>
  </r>
  <r>
    <x v="314"/>
    <s v="2025-02-27"/>
    <s v="Anjali"/>
    <s v="P033"/>
    <s v="Milk Chocolate Coins"/>
    <x v="0"/>
    <n v="15"/>
    <n v="52"/>
    <n v="5"/>
    <x v="36"/>
    <x v="0"/>
    <x v="2"/>
    <x v="134"/>
  </r>
  <r>
    <x v="315"/>
    <s v="2025-03-10"/>
    <s v="Rohan"/>
    <s v="P008"/>
    <s v="Hazelnut Praline Chocolate"/>
    <x v="3"/>
    <n v="2"/>
    <n v="76"/>
    <n v="5"/>
    <x v="268"/>
    <x v="2"/>
    <x v="4"/>
    <x v="181"/>
  </r>
  <r>
    <x v="316"/>
    <s v="2025-03-29"/>
    <s v="Vikas"/>
    <s v="P038"/>
    <s v="Choco Biscuit Pops"/>
    <x v="3"/>
    <n v="3"/>
    <n v="113"/>
    <n v="15"/>
    <x v="269"/>
    <x v="5"/>
    <x v="4"/>
    <x v="120"/>
  </r>
  <r>
    <x v="317"/>
    <s v="2025-06-08"/>
    <s v="Vikas"/>
    <s v="P020"/>
    <s v="Coffee Mocha Bites"/>
    <x v="2"/>
    <n v="12"/>
    <n v="61"/>
    <n v="5"/>
    <x v="270"/>
    <x v="3"/>
    <x v="0"/>
    <x v="178"/>
  </r>
  <r>
    <x v="318"/>
    <s v="2025-01-24"/>
    <s v="Anjali"/>
    <s v="P039"/>
    <s v="Luxury Praline Box"/>
    <x v="4"/>
    <n v="10"/>
    <n v="181"/>
    <n v="0"/>
    <x v="271"/>
    <x v="1"/>
    <x v="3"/>
    <x v="106"/>
  </r>
  <r>
    <x v="319"/>
    <s v="2025-01-24"/>
    <s v="Rohan"/>
    <s v="P010"/>
    <s v="Dry Fruit Special Chocolate"/>
    <x v="1"/>
    <n v="6"/>
    <n v="160"/>
    <n v="15"/>
    <x v="25"/>
    <x v="2"/>
    <x v="3"/>
    <x v="25"/>
  </r>
  <r>
    <x v="320"/>
    <s v="2025-03-26"/>
    <s v="Neha"/>
    <s v="P011"/>
    <s v="Almond Crunch Bar"/>
    <x v="1"/>
    <n v="3"/>
    <n v="90"/>
    <n v="15"/>
    <x v="64"/>
    <x v="1"/>
    <x v="4"/>
    <x v="21"/>
  </r>
  <r>
    <x v="321"/>
    <s v="2025-06-15"/>
    <s v="Pooja"/>
    <s v="P036"/>
    <s v="Classic Dark Chocolate"/>
    <x v="0"/>
    <n v="8"/>
    <n v="139"/>
    <n v="15"/>
    <x v="272"/>
    <x v="3"/>
    <x v="0"/>
    <x v="174"/>
  </r>
  <r>
    <x v="322"/>
    <s v="2025-05-11"/>
    <s v="Priya"/>
    <s v="P024"/>
    <s v="Crunchy Wafer Chocolate"/>
    <x v="1"/>
    <n v="8"/>
    <n v="144"/>
    <n v="5"/>
    <x v="102"/>
    <x v="5"/>
    <x v="5"/>
    <x v="182"/>
  </r>
  <r>
    <x v="323"/>
    <s v="2025-02-23"/>
    <s v="Rahul"/>
    <s v="P013"/>
    <s v="Pistachio Fusion Chocolate"/>
    <x v="0"/>
    <n v="6"/>
    <n v="143"/>
    <n v="10"/>
    <x v="273"/>
    <x v="4"/>
    <x v="2"/>
    <x v="30"/>
  </r>
  <r>
    <x v="324"/>
    <s v="2025-05-05"/>
    <s v="Rahul"/>
    <s v="P032"/>
    <s v="Choco Fudge Squares"/>
    <x v="3"/>
    <n v="12"/>
    <n v="130"/>
    <n v="5"/>
    <x v="274"/>
    <x v="3"/>
    <x v="5"/>
    <x v="183"/>
  </r>
  <r>
    <x v="325"/>
    <s v="2025-01-05"/>
    <s v="Vikas"/>
    <s v="P029"/>
    <s v="Choco Lava Bites"/>
    <x v="2"/>
    <n v="14"/>
    <n v="100"/>
    <n v="0"/>
    <x v="275"/>
    <x v="1"/>
    <x v="3"/>
    <x v="23"/>
  </r>
  <r>
    <x v="326"/>
    <s v="2025-04-13"/>
    <s v="Rahul"/>
    <s v="P002"/>
    <s v="Kunafa Bites"/>
    <x v="3"/>
    <n v="1"/>
    <n v="146"/>
    <n v="5"/>
    <x v="276"/>
    <x v="0"/>
    <x v="1"/>
    <x v="132"/>
  </r>
  <r>
    <x v="327"/>
    <s v="2025-04-30"/>
    <s v="Kiran"/>
    <s v="P037"/>
    <s v="Golden Caramel Bites"/>
    <x v="2"/>
    <n v="8"/>
    <n v="160"/>
    <n v="10"/>
    <x v="60"/>
    <x v="0"/>
    <x v="1"/>
    <x v="129"/>
  </r>
  <r>
    <x v="328"/>
    <s v="2025-05-14"/>
    <s v="Pooja"/>
    <s v="P004"/>
    <s v="Duo Choco Bites"/>
    <x v="1"/>
    <n v="8"/>
    <n v="99"/>
    <n v="0"/>
    <x v="265"/>
    <x v="5"/>
    <x v="5"/>
    <x v="180"/>
  </r>
  <r>
    <x v="329"/>
    <s v="2025-03-07"/>
    <s v="Anjali"/>
    <s v="P018"/>
    <s v="Fruit &amp; Nut Chocolate"/>
    <x v="2"/>
    <n v="13"/>
    <n v="156"/>
    <n v="5"/>
    <x v="277"/>
    <x v="1"/>
    <x v="4"/>
    <x v="184"/>
  </r>
  <r>
    <x v="330"/>
    <s v="2025-02-06"/>
    <s v="Rahul"/>
    <s v="P021"/>
    <s v="Orange Zest Chocolate"/>
    <x v="3"/>
    <n v="5"/>
    <n v="65"/>
    <n v="5"/>
    <x v="278"/>
    <x v="2"/>
    <x v="2"/>
    <x v="97"/>
  </r>
  <r>
    <x v="331"/>
    <s v="2025-04-27"/>
    <s v="Priya"/>
    <s v="P026"/>
    <s v="Silk Ganache Cubes"/>
    <x v="4"/>
    <n v="7"/>
    <n v="82"/>
    <n v="15"/>
    <x v="279"/>
    <x v="5"/>
    <x v="1"/>
    <x v="29"/>
  </r>
  <r>
    <x v="332"/>
    <s v="2025-01-29"/>
    <s v="Meera"/>
    <s v="P004"/>
    <s v="Duo Choco Bites"/>
    <x v="1"/>
    <n v="9"/>
    <n v="99"/>
    <n v="5"/>
    <x v="280"/>
    <x v="5"/>
    <x v="3"/>
    <x v="185"/>
  </r>
  <r>
    <x v="333"/>
    <s v="2025-06-02"/>
    <s v="Neha"/>
    <s v="P010"/>
    <s v="Dry Fruit Special Chocolate"/>
    <x v="1"/>
    <n v="12"/>
    <n v="160"/>
    <n v="15"/>
    <x v="281"/>
    <x v="3"/>
    <x v="0"/>
    <x v="186"/>
  </r>
  <r>
    <x v="334"/>
    <s v="2025-01-15"/>
    <s v="Anjali"/>
    <s v="P003"/>
    <s v="Choco Crunch Cone"/>
    <x v="1"/>
    <n v="3"/>
    <n v="86"/>
    <n v="5"/>
    <x v="282"/>
    <x v="2"/>
    <x v="3"/>
    <x v="181"/>
  </r>
  <r>
    <x v="335"/>
    <s v="2025-06-19"/>
    <s v="Pooja"/>
    <s v="P004"/>
    <s v="Duo Choco Bites"/>
    <x v="1"/>
    <n v="11"/>
    <n v="99"/>
    <n v="10"/>
    <x v="283"/>
    <x v="5"/>
    <x v="0"/>
    <x v="127"/>
  </r>
  <r>
    <x v="336"/>
    <s v="2025-01-30"/>
    <s v="Amit"/>
    <s v="P011"/>
    <s v="Almond Crunch Bar"/>
    <x v="1"/>
    <n v="10"/>
    <n v="90"/>
    <n v="0"/>
    <x v="284"/>
    <x v="3"/>
    <x v="3"/>
    <x v="187"/>
  </r>
  <r>
    <x v="337"/>
    <s v="2025-04-18"/>
    <s v="Kiran"/>
    <s v="P011"/>
    <s v="Almond Crunch Bar"/>
    <x v="1"/>
    <n v="15"/>
    <n v="90"/>
    <n v="15"/>
    <x v="53"/>
    <x v="2"/>
    <x v="1"/>
    <x v="51"/>
  </r>
  <r>
    <x v="338"/>
    <s v="2025-01-20"/>
    <s v="Anjali"/>
    <s v="P028"/>
    <s v="Butterscotch Crunch Bar"/>
    <x v="1"/>
    <n v="12"/>
    <n v="109"/>
    <n v="15"/>
    <x v="285"/>
    <x v="0"/>
    <x v="3"/>
    <x v="126"/>
  </r>
  <r>
    <x v="339"/>
    <s v="2025-03-26"/>
    <s v="Rohan"/>
    <s v="P003"/>
    <s v="Choco Crunch Cone"/>
    <x v="1"/>
    <n v="11"/>
    <n v="86"/>
    <n v="0"/>
    <x v="286"/>
    <x v="1"/>
    <x v="4"/>
    <x v="105"/>
  </r>
  <r>
    <x v="340"/>
    <s v="2025-05-01"/>
    <s v="Sneha"/>
    <s v="P003"/>
    <s v="Choco Crunch Cone"/>
    <x v="1"/>
    <n v="1"/>
    <n v="86"/>
    <n v="10"/>
    <x v="287"/>
    <x v="0"/>
    <x v="5"/>
    <x v="14"/>
  </r>
  <r>
    <x v="341"/>
    <s v="2025-06-18"/>
    <s v="Sneha"/>
    <s v="P014"/>
    <s v="Dark Fantasy Squares"/>
    <x v="2"/>
    <n v="6"/>
    <n v="96"/>
    <n v="10"/>
    <x v="288"/>
    <x v="5"/>
    <x v="0"/>
    <x v="85"/>
  </r>
  <r>
    <x v="342"/>
    <s v="2025-06-25"/>
    <s v="Neha"/>
    <s v="P019"/>
    <s v="White Chocolate Truffle"/>
    <x v="1"/>
    <n v="12"/>
    <n v="95"/>
    <n v="10"/>
    <x v="289"/>
    <x v="0"/>
    <x v="0"/>
    <x v="188"/>
  </r>
  <r>
    <x v="343"/>
    <s v="2025-04-06"/>
    <s v="Priya"/>
    <s v="P035"/>
    <s v="Velvet Truffle Bites"/>
    <x v="0"/>
    <n v="12"/>
    <n v="199"/>
    <n v="0"/>
    <x v="290"/>
    <x v="5"/>
    <x v="1"/>
    <x v="171"/>
  </r>
  <r>
    <x v="344"/>
    <s v="2025-01-05"/>
    <s v="Priya"/>
    <s v="P039"/>
    <s v="Luxury Praline Box"/>
    <x v="4"/>
    <n v="9"/>
    <n v="181"/>
    <n v="10"/>
    <x v="291"/>
    <x v="4"/>
    <x v="3"/>
    <x v="67"/>
  </r>
  <r>
    <x v="345"/>
    <s v="2025-02-12"/>
    <s v="Rahul"/>
    <s v="P029"/>
    <s v="Choco Lava Bites"/>
    <x v="2"/>
    <n v="13"/>
    <n v="100"/>
    <n v="5"/>
    <x v="292"/>
    <x v="0"/>
    <x v="2"/>
    <x v="163"/>
  </r>
  <r>
    <x v="346"/>
    <s v="2025-01-04"/>
    <s v="Pooja"/>
    <s v="P032"/>
    <s v="Choco Fudge Squares"/>
    <x v="3"/>
    <n v="5"/>
    <n v="130"/>
    <n v="15"/>
    <x v="293"/>
    <x v="0"/>
    <x v="3"/>
    <x v="189"/>
  </r>
  <r>
    <x v="347"/>
    <s v="2025-04-16"/>
    <s v="Rohan"/>
    <s v="P021"/>
    <s v="Orange Zest Chocolate"/>
    <x v="3"/>
    <n v="12"/>
    <n v="65"/>
    <n v="5"/>
    <x v="36"/>
    <x v="2"/>
    <x v="1"/>
    <x v="127"/>
  </r>
  <r>
    <x v="348"/>
    <s v="2025-01-20"/>
    <s v="Rahul"/>
    <s v="P032"/>
    <s v="Choco Fudge Squares"/>
    <x v="3"/>
    <n v="4"/>
    <n v="130"/>
    <n v="5"/>
    <x v="294"/>
    <x v="5"/>
    <x v="3"/>
    <x v="32"/>
  </r>
  <r>
    <x v="349"/>
    <s v="2025-03-20"/>
    <s v="Sneha"/>
    <s v="P021"/>
    <s v="Orange Zest Chocolate"/>
    <x v="3"/>
    <n v="7"/>
    <n v="65"/>
    <n v="5"/>
    <x v="295"/>
    <x v="0"/>
    <x v="4"/>
    <x v="190"/>
  </r>
  <r>
    <x v="350"/>
    <s v="2025-06-17"/>
    <s v="Amit"/>
    <s v="P014"/>
    <s v="Dark Fantasy Squares"/>
    <x v="2"/>
    <n v="1"/>
    <n v="96"/>
    <n v="15"/>
    <x v="296"/>
    <x v="1"/>
    <x v="0"/>
    <x v="191"/>
  </r>
  <r>
    <x v="351"/>
    <s v="2025-03-22"/>
    <s v="Meera"/>
    <s v="P012"/>
    <s v="Cashew Delight Bites"/>
    <x v="0"/>
    <n v="14"/>
    <n v="98"/>
    <n v="15"/>
    <x v="297"/>
    <x v="3"/>
    <x v="4"/>
    <x v="23"/>
  </r>
  <r>
    <x v="352"/>
    <s v="2025-06-06"/>
    <s v="Sneha"/>
    <s v="P027"/>
    <s v="Premium Cocoa Slabs"/>
    <x v="1"/>
    <n v="5"/>
    <n v="135"/>
    <n v="10"/>
    <x v="298"/>
    <x v="1"/>
    <x v="0"/>
    <x v="192"/>
  </r>
  <r>
    <x v="353"/>
    <s v="2025-01-15"/>
    <s v="Priya"/>
    <s v="P028"/>
    <s v="Butterscotch Crunch Bar"/>
    <x v="1"/>
    <n v="3"/>
    <n v="109"/>
    <n v="0"/>
    <x v="299"/>
    <x v="5"/>
    <x v="3"/>
    <x v="109"/>
  </r>
  <r>
    <x v="354"/>
    <s v="2025-01-20"/>
    <s v="Pooja"/>
    <s v="P004"/>
    <s v="Duo Choco Bites"/>
    <x v="1"/>
    <n v="3"/>
    <n v="99"/>
    <n v="5"/>
    <x v="300"/>
    <x v="0"/>
    <x v="3"/>
    <x v="100"/>
  </r>
  <r>
    <x v="355"/>
    <s v="2025-06-06"/>
    <s v="Rahul"/>
    <s v="P013"/>
    <s v="Pistachio Fusion Chocolate"/>
    <x v="0"/>
    <n v="12"/>
    <n v="143"/>
    <n v="15"/>
    <x v="301"/>
    <x v="2"/>
    <x v="0"/>
    <x v="101"/>
  </r>
  <r>
    <x v="356"/>
    <s v="2025-01-26"/>
    <s v="Pooja"/>
    <s v="P034"/>
    <s v="Signature Cocoa Bars"/>
    <x v="0"/>
    <n v="11"/>
    <n v="154"/>
    <n v="5"/>
    <x v="302"/>
    <x v="2"/>
    <x v="3"/>
    <x v="193"/>
  </r>
  <r>
    <x v="357"/>
    <s v="2025-06-14"/>
    <s v="Neha"/>
    <s v="P020"/>
    <s v="Coffee Mocha Bites"/>
    <x v="2"/>
    <n v="7"/>
    <n v="61"/>
    <n v="5"/>
    <x v="303"/>
    <x v="1"/>
    <x v="0"/>
    <x v="137"/>
  </r>
  <r>
    <x v="358"/>
    <s v="2025-03-23"/>
    <s v="Priya"/>
    <s v="P007"/>
    <s v="Choco Aura Custom Bar"/>
    <x v="3"/>
    <n v="15"/>
    <n v="128"/>
    <n v="5"/>
    <x v="304"/>
    <x v="2"/>
    <x v="4"/>
    <x v="194"/>
  </r>
  <r>
    <x v="359"/>
    <s v="2025-03-21"/>
    <s v="Meera"/>
    <s v="P013"/>
    <s v="Pistachio Fusion Chocolate"/>
    <x v="0"/>
    <n v="10"/>
    <n v="143"/>
    <n v="5"/>
    <x v="305"/>
    <x v="0"/>
    <x v="4"/>
    <x v="145"/>
  </r>
  <r>
    <x v="360"/>
    <s v="2025-04-13"/>
    <s v="Amit"/>
    <s v="P019"/>
    <s v="White Chocolate Truffle"/>
    <x v="1"/>
    <n v="10"/>
    <n v="95"/>
    <n v="15"/>
    <x v="306"/>
    <x v="1"/>
    <x v="1"/>
    <x v="195"/>
  </r>
  <r>
    <x v="361"/>
    <s v="2025-04-11"/>
    <s v="Vikas"/>
    <s v="P040"/>
    <s v="Festive Chocolate Pack"/>
    <x v="4"/>
    <n v="7"/>
    <n v="145"/>
    <n v="15"/>
    <x v="307"/>
    <x v="4"/>
    <x v="1"/>
    <x v="196"/>
  </r>
  <r>
    <x v="362"/>
    <s v="2025-01-30"/>
    <s v="Anjali"/>
    <s v="P032"/>
    <s v="Choco Fudge Squares"/>
    <x v="3"/>
    <n v="4"/>
    <n v="130"/>
    <n v="10"/>
    <x v="20"/>
    <x v="1"/>
    <x v="3"/>
    <x v="32"/>
  </r>
  <r>
    <x v="363"/>
    <s v="2025-04-11"/>
    <s v="Neha"/>
    <s v="P031"/>
    <s v="Honey Almond Chocolate"/>
    <x v="0"/>
    <n v="12"/>
    <n v="119"/>
    <n v="10"/>
    <x v="151"/>
    <x v="4"/>
    <x v="1"/>
    <x v="124"/>
  </r>
  <r>
    <x v="364"/>
    <s v="2025-01-27"/>
    <s v="Priya"/>
    <s v="P019"/>
    <s v="White Chocolate Truffle"/>
    <x v="1"/>
    <n v="2"/>
    <n v="95"/>
    <n v="0"/>
    <x v="106"/>
    <x v="1"/>
    <x v="3"/>
    <x v="92"/>
  </r>
  <r>
    <x v="365"/>
    <s v="2025-04-26"/>
    <s v="Rohan"/>
    <s v="P025"/>
    <s v="Berry Blast Chocolate"/>
    <x v="4"/>
    <n v="6"/>
    <n v="168"/>
    <n v="5"/>
    <x v="250"/>
    <x v="4"/>
    <x v="1"/>
    <x v="197"/>
  </r>
  <r>
    <x v="366"/>
    <s v="2025-04-23"/>
    <s v="Vikas"/>
    <s v="P028"/>
    <s v="Butterscotch Crunch Bar"/>
    <x v="1"/>
    <n v="9"/>
    <n v="109"/>
    <n v="0"/>
    <x v="308"/>
    <x v="1"/>
    <x v="1"/>
    <x v="26"/>
  </r>
  <r>
    <x v="367"/>
    <s v="2025-02-22"/>
    <s v="Sneha"/>
    <s v="P014"/>
    <s v="Dark Fantasy Squares"/>
    <x v="2"/>
    <n v="10"/>
    <n v="96"/>
    <n v="0"/>
    <x v="309"/>
    <x v="0"/>
    <x v="2"/>
    <x v="114"/>
  </r>
  <r>
    <x v="368"/>
    <s v="2025-03-21"/>
    <s v="Anjali"/>
    <s v="P039"/>
    <s v="Luxury Praline Box"/>
    <x v="4"/>
    <n v="13"/>
    <n v="181"/>
    <n v="5"/>
    <x v="310"/>
    <x v="2"/>
    <x v="4"/>
    <x v="184"/>
  </r>
  <r>
    <x v="369"/>
    <s v="2025-01-18"/>
    <s v="Rahul"/>
    <s v="P020"/>
    <s v="Coffee Mocha Bites"/>
    <x v="2"/>
    <n v="1"/>
    <n v="61"/>
    <n v="15"/>
    <x v="311"/>
    <x v="1"/>
    <x v="3"/>
    <x v="198"/>
  </r>
  <r>
    <x v="370"/>
    <s v="2025-03-14"/>
    <s v="Rahul"/>
    <s v="P025"/>
    <s v="Berry Blast Chocolate"/>
    <x v="4"/>
    <n v="15"/>
    <n v="168"/>
    <n v="0"/>
    <x v="241"/>
    <x v="4"/>
    <x v="4"/>
    <x v="170"/>
  </r>
  <r>
    <x v="371"/>
    <s v="2025-06-30"/>
    <s v="Amit"/>
    <s v="P006"/>
    <s v="Love Loaded Chocolate Bar"/>
    <x v="4"/>
    <n v="9"/>
    <n v="140"/>
    <n v="15"/>
    <x v="312"/>
    <x v="0"/>
    <x v="0"/>
    <x v="78"/>
  </r>
  <r>
    <x v="372"/>
    <s v="2025-06-11"/>
    <s v="Neha"/>
    <s v="P002"/>
    <s v="Kunafa Bites"/>
    <x v="3"/>
    <n v="9"/>
    <n v="146"/>
    <n v="0"/>
    <x v="50"/>
    <x v="5"/>
    <x v="0"/>
    <x v="48"/>
  </r>
  <r>
    <x v="373"/>
    <s v="2025-04-25"/>
    <s v="Vikas"/>
    <s v="P018"/>
    <s v="Fruit &amp; Nut Chocolate"/>
    <x v="2"/>
    <n v="13"/>
    <n v="156"/>
    <n v="15"/>
    <x v="313"/>
    <x v="3"/>
    <x v="1"/>
    <x v="184"/>
  </r>
  <r>
    <x v="374"/>
    <s v="2025-05-19"/>
    <s v="Priya"/>
    <s v="P022"/>
    <s v="Mint Choco Squares"/>
    <x v="4"/>
    <n v="10"/>
    <n v="147"/>
    <n v="0"/>
    <x v="314"/>
    <x v="3"/>
    <x v="5"/>
    <x v="199"/>
  </r>
  <r>
    <x v="375"/>
    <s v="2025-06-05"/>
    <s v="Rohan"/>
    <s v="P013"/>
    <s v="Pistachio Fusion Chocolate"/>
    <x v="0"/>
    <n v="4"/>
    <n v="143"/>
    <n v="0"/>
    <x v="44"/>
    <x v="3"/>
    <x v="0"/>
    <x v="43"/>
  </r>
  <r>
    <x v="376"/>
    <s v="2025-04-16"/>
    <s v="Sneha"/>
    <s v="P035"/>
    <s v="Velvet Truffle Bites"/>
    <x v="0"/>
    <n v="11"/>
    <n v="199"/>
    <n v="5"/>
    <x v="315"/>
    <x v="4"/>
    <x v="1"/>
    <x v="200"/>
  </r>
  <r>
    <x v="377"/>
    <s v="2025-01-01"/>
    <s v="Rohan"/>
    <s v="P011"/>
    <s v="Almond Crunch Bar"/>
    <x v="1"/>
    <n v="12"/>
    <n v="90"/>
    <n v="0"/>
    <x v="223"/>
    <x v="2"/>
    <x v="3"/>
    <x v="62"/>
  </r>
  <r>
    <x v="378"/>
    <s v="2025-01-08"/>
    <s v="Kiran"/>
    <s v="P032"/>
    <s v="Choco Fudge Squares"/>
    <x v="3"/>
    <n v="8"/>
    <n v="130"/>
    <n v="5"/>
    <x v="316"/>
    <x v="0"/>
    <x v="3"/>
    <x v="34"/>
  </r>
  <r>
    <x v="379"/>
    <s v="2025-01-10"/>
    <s v="Priya"/>
    <s v="P014"/>
    <s v="Dark Fantasy Squares"/>
    <x v="2"/>
    <n v="15"/>
    <n v="96"/>
    <n v="0"/>
    <x v="217"/>
    <x v="1"/>
    <x v="3"/>
    <x v="83"/>
  </r>
  <r>
    <x v="380"/>
    <s v="2025-03-19"/>
    <s v="Amit"/>
    <s v="P010"/>
    <s v="Dry Fruit Special Chocolate"/>
    <x v="1"/>
    <n v="14"/>
    <n v="160"/>
    <n v="0"/>
    <x v="317"/>
    <x v="3"/>
    <x v="4"/>
    <x v="119"/>
  </r>
  <r>
    <x v="381"/>
    <s v="2025-04-14"/>
    <s v="Arjun"/>
    <s v="P027"/>
    <s v="Premium Cocoa Slabs"/>
    <x v="1"/>
    <n v="5"/>
    <n v="135"/>
    <n v="10"/>
    <x v="298"/>
    <x v="0"/>
    <x v="1"/>
    <x v="192"/>
  </r>
  <r>
    <x v="382"/>
    <s v="2025-06-28"/>
    <s v="Amit"/>
    <s v="P035"/>
    <s v="Velvet Truffle Bites"/>
    <x v="0"/>
    <n v="4"/>
    <n v="199"/>
    <n v="15"/>
    <x v="66"/>
    <x v="2"/>
    <x v="0"/>
    <x v="62"/>
  </r>
  <r>
    <x v="383"/>
    <s v="2025-06-14"/>
    <s v="Neha"/>
    <s v="P026"/>
    <s v="Silk Ganache Cubes"/>
    <x v="4"/>
    <n v="14"/>
    <n v="82"/>
    <n v="5"/>
    <x v="318"/>
    <x v="5"/>
    <x v="0"/>
    <x v="174"/>
  </r>
  <r>
    <x v="384"/>
    <s v="2025-04-08"/>
    <s v="Anjali"/>
    <s v="P029"/>
    <s v="Choco Lava Bites"/>
    <x v="2"/>
    <n v="13"/>
    <n v="100"/>
    <n v="10"/>
    <x v="319"/>
    <x v="3"/>
    <x v="1"/>
    <x v="163"/>
  </r>
  <r>
    <x v="385"/>
    <s v="2025-02-08"/>
    <s v="Rahul"/>
    <s v="P030"/>
    <s v="Royal Dryfruit Mix"/>
    <x v="0"/>
    <n v="8"/>
    <n v="135"/>
    <n v="10"/>
    <x v="320"/>
    <x v="5"/>
    <x v="2"/>
    <x v="201"/>
  </r>
  <r>
    <x v="386"/>
    <s v="2025-03-13"/>
    <s v="Rahul"/>
    <s v="P036"/>
    <s v="Classic Dark Chocolate"/>
    <x v="0"/>
    <n v="3"/>
    <n v="139"/>
    <n v="5"/>
    <x v="321"/>
    <x v="3"/>
    <x v="4"/>
    <x v="82"/>
  </r>
  <r>
    <x v="387"/>
    <s v="2025-03-06"/>
    <s v="Pooja"/>
    <s v="P016"/>
    <s v="Nutella Filled Bites"/>
    <x v="0"/>
    <n v="3"/>
    <n v="89"/>
    <n v="10"/>
    <x v="322"/>
    <x v="1"/>
    <x v="4"/>
    <x v="202"/>
  </r>
  <r>
    <x v="388"/>
    <s v="2025-01-20"/>
    <s v="Arjun"/>
    <s v="P020"/>
    <s v="Coffee Mocha Bites"/>
    <x v="2"/>
    <n v="4"/>
    <n v="61"/>
    <n v="15"/>
    <x v="323"/>
    <x v="5"/>
    <x v="3"/>
    <x v="203"/>
  </r>
  <r>
    <x v="389"/>
    <s v="2025-06-09"/>
    <s v="Anjali"/>
    <s v="P026"/>
    <s v="Silk Ganache Cubes"/>
    <x v="4"/>
    <n v="7"/>
    <n v="82"/>
    <n v="15"/>
    <x v="279"/>
    <x v="4"/>
    <x v="0"/>
    <x v="29"/>
  </r>
  <r>
    <x v="390"/>
    <s v="2025-06-22"/>
    <s v="Rohan"/>
    <s v="P014"/>
    <s v="Dark Fantasy Squares"/>
    <x v="2"/>
    <n v="14"/>
    <n v="96"/>
    <n v="5"/>
    <x v="324"/>
    <x v="2"/>
    <x v="0"/>
    <x v="204"/>
  </r>
  <r>
    <x v="391"/>
    <s v="2025-03-14"/>
    <s v="Anjali"/>
    <s v="P027"/>
    <s v="Premium Cocoa Slabs"/>
    <x v="1"/>
    <n v="13"/>
    <n v="135"/>
    <n v="5"/>
    <x v="114"/>
    <x v="1"/>
    <x v="4"/>
    <x v="138"/>
  </r>
  <r>
    <x v="392"/>
    <s v="2025-01-20"/>
    <s v="Rahul"/>
    <s v="P040"/>
    <s v="Festive Chocolate Pack"/>
    <x v="4"/>
    <n v="12"/>
    <n v="145"/>
    <n v="15"/>
    <x v="325"/>
    <x v="3"/>
    <x v="3"/>
    <x v="77"/>
  </r>
  <r>
    <x v="393"/>
    <s v="2025-04-10"/>
    <s v="Pooja"/>
    <s v="P038"/>
    <s v="Choco Biscuit Pops"/>
    <x v="3"/>
    <n v="2"/>
    <n v="113"/>
    <n v="5"/>
    <x v="326"/>
    <x v="4"/>
    <x v="1"/>
    <x v="205"/>
  </r>
  <r>
    <x v="394"/>
    <s v="2025-05-30"/>
    <s v="Rahul"/>
    <s v="P021"/>
    <s v="Orange Zest Chocolate"/>
    <x v="3"/>
    <n v="8"/>
    <n v="65"/>
    <n v="15"/>
    <x v="327"/>
    <x v="1"/>
    <x v="5"/>
    <x v="113"/>
  </r>
  <r>
    <x v="395"/>
    <s v="2025-05-08"/>
    <s v="Rohan"/>
    <s v="P012"/>
    <s v="Cashew Delight Bites"/>
    <x v="0"/>
    <n v="1"/>
    <n v="98"/>
    <n v="15"/>
    <x v="328"/>
    <x v="3"/>
    <x v="5"/>
    <x v="81"/>
  </r>
  <r>
    <x v="396"/>
    <s v="2025-04-06"/>
    <s v="Meera"/>
    <s v="P031"/>
    <s v="Honey Almond Chocolate"/>
    <x v="0"/>
    <n v="13"/>
    <n v="119"/>
    <n v="5"/>
    <x v="329"/>
    <x v="3"/>
    <x v="1"/>
    <x v="206"/>
  </r>
  <r>
    <x v="397"/>
    <s v="2025-05-24"/>
    <s v="Arjun"/>
    <s v="P024"/>
    <s v="Crunchy Wafer Chocolate"/>
    <x v="1"/>
    <n v="8"/>
    <n v="144"/>
    <n v="10"/>
    <x v="330"/>
    <x v="2"/>
    <x v="5"/>
    <x v="182"/>
  </r>
  <r>
    <x v="398"/>
    <s v="2025-05-02"/>
    <s v="Vikas"/>
    <s v="P003"/>
    <s v="Choco Crunch Cone"/>
    <x v="1"/>
    <n v="12"/>
    <n v="86"/>
    <n v="10"/>
    <x v="214"/>
    <x v="5"/>
    <x v="5"/>
    <x v="42"/>
  </r>
  <r>
    <x v="399"/>
    <s v="2025-02-22"/>
    <s v="Amit"/>
    <s v="P026"/>
    <s v="Silk Ganache Cubes"/>
    <x v="4"/>
    <n v="7"/>
    <n v="82"/>
    <n v="0"/>
    <x v="331"/>
    <x v="4"/>
    <x v="2"/>
    <x v="29"/>
  </r>
  <r>
    <x v="400"/>
    <s v="2025-02-24"/>
    <s v="Sneha"/>
    <s v="P027"/>
    <s v="Premium Cocoa Slabs"/>
    <x v="1"/>
    <n v="8"/>
    <n v="135"/>
    <n v="0"/>
    <x v="223"/>
    <x v="1"/>
    <x v="2"/>
    <x v="164"/>
  </r>
  <r>
    <x v="401"/>
    <s v="2025-05-11"/>
    <s v="Rohan"/>
    <s v="P016"/>
    <s v="Nutella Filled Bites"/>
    <x v="0"/>
    <n v="4"/>
    <n v="89"/>
    <n v="5"/>
    <x v="332"/>
    <x v="1"/>
    <x v="5"/>
    <x v="207"/>
  </r>
  <r>
    <x v="402"/>
    <s v="2025-04-13"/>
    <s v="Pooja"/>
    <s v="P013"/>
    <s v="Pistachio Fusion Chocolate"/>
    <x v="0"/>
    <n v="12"/>
    <n v="143"/>
    <n v="15"/>
    <x v="301"/>
    <x v="4"/>
    <x v="1"/>
    <x v="101"/>
  </r>
  <r>
    <x v="403"/>
    <s v="2025-02-07"/>
    <s v="Priya"/>
    <s v="P031"/>
    <s v="Honey Almond Chocolate"/>
    <x v="0"/>
    <n v="10"/>
    <n v="119"/>
    <n v="0"/>
    <x v="333"/>
    <x v="1"/>
    <x v="2"/>
    <x v="208"/>
  </r>
  <r>
    <x v="404"/>
    <s v="2025-01-21"/>
    <s v="Rahul"/>
    <s v="P023"/>
    <s v="Coconut Delight Bar"/>
    <x v="2"/>
    <n v="5"/>
    <n v="37"/>
    <n v="15"/>
    <x v="334"/>
    <x v="3"/>
    <x v="3"/>
    <x v="209"/>
  </r>
  <r>
    <x v="405"/>
    <s v="2025-05-12"/>
    <s v="Sneha"/>
    <s v="P026"/>
    <s v="Silk Ganache Cubes"/>
    <x v="4"/>
    <n v="6"/>
    <n v="82"/>
    <n v="0"/>
    <x v="335"/>
    <x v="1"/>
    <x v="5"/>
    <x v="42"/>
  </r>
  <r>
    <x v="406"/>
    <s v="2025-04-17"/>
    <s v="Amit"/>
    <s v="P023"/>
    <s v="Coconut Delight Bar"/>
    <x v="2"/>
    <n v="14"/>
    <n v="37"/>
    <n v="5"/>
    <x v="336"/>
    <x v="2"/>
    <x v="1"/>
    <x v="177"/>
  </r>
  <r>
    <x v="407"/>
    <s v="2025-03-28"/>
    <s v="Anjali"/>
    <s v="P022"/>
    <s v="Mint Choco Squares"/>
    <x v="4"/>
    <n v="5"/>
    <n v="147"/>
    <n v="15"/>
    <x v="337"/>
    <x v="0"/>
    <x v="4"/>
    <x v="147"/>
  </r>
  <r>
    <x v="408"/>
    <s v="2025-03-26"/>
    <s v="Anjali"/>
    <s v="P023"/>
    <s v="Coconut Delight Bar"/>
    <x v="2"/>
    <n v="9"/>
    <n v="37"/>
    <n v="15"/>
    <x v="338"/>
    <x v="5"/>
    <x v="4"/>
    <x v="161"/>
  </r>
  <r>
    <x v="409"/>
    <s v="2025-03-15"/>
    <s v="Meera"/>
    <s v="P013"/>
    <s v="Pistachio Fusion Chocolate"/>
    <x v="0"/>
    <n v="3"/>
    <n v="143"/>
    <n v="15"/>
    <x v="339"/>
    <x v="3"/>
    <x v="4"/>
    <x v="157"/>
  </r>
  <r>
    <x v="410"/>
    <s v="2025-04-05"/>
    <s v="Rahul"/>
    <s v="P016"/>
    <s v="Nutella Filled Bites"/>
    <x v="0"/>
    <n v="4"/>
    <n v="89"/>
    <n v="15"/>
    <x v="340"/>
    <x v="2"/>
    <x v="1"/>
    <x v="207"/>
  </r>
  <r>
    <x v="411"/>
    <s v="2025-05-21"/>
    <s v="Sneha"/>
    <s v="P012"/>
    <s v="Cashew Delight Bites"/>
    <x v="0"/>
    <n v="15"/>
    <n v="98"/>
    <n v="15"/>
    <x v="341"/>
    <x v="1"/>
    <x v="5"/>
    <x v="197"/>
  </r>
  <r>
    <x v="412"/>
    <s v="2025-04-08"/>
    <s v="Kiran"/>
    <s v="P026"/>
    <s v="Silk Ganache Cubes"/>
    <x v="4"/>
    <n v="9"/>
    <n v="82"/>
    <n v="5"/>
    <x v="342"/>
    <x v="1"/>
    <x v="1"/>
    <x v="34"/>
  </r>
  <r>
    <x v="413"/>
    <s v="2025-06-07"/>
    <s v="Meera"/>
    <s v="P001"/>
    <s v="Choco Pie Popstick"/>
    <x v="2"/>
    <n v="3"/>
    <n v="74"/>
    <n v="5"/>
    <x v="343"/>
    <x v="1"/>
    <x v="0"/>
    <x v="210"/>
  </r>
  <r>
    <x v="414"/>
    <s v="2025-06-23"/>
    <s v="Priya"/>
    <s v="P018"/>
    <s v="Fruit &amp; Nut Chocolate"/>
    <x v="2"/>
    <n v="8"/>
    <n v="156"/>
    <n v="15"/>
    <x v="344"/>
    <x v="1"/>
    <x v="0"/>
    <x v="101"/>
  </r>
  <r>
    <x v="415"/>
    <s v="2025-05-18"/>
    <s v="Pooja"/>
    <s v="P019"/>
    <s v="White Chocolate Truffle"/>
    <x v="1"/>
    <n v="14"/>
    <n v="95"/>
    <n v="0"/>
    <x v="134"/>
    <x v="0"/>
    <x v="5"/>
    <x v="115"/>
  </r>
  <r>
    <x v="416"/>
    <s v="2025-01-22"/>
    <s v="Rohan"/>
    <s v="P001"/>
    <s v="Choco Pie Popstick"/>
    <x v="2"/>
    <n v="13"/>
    <n v="74"/>
    <n v="0"/>
    <x v="345"/>
    <x v="3"/>
    <x v="3"/>
    <x v="177"/>
  </r>
  <r>
    <x v="417"/>
    <s v="2025-06-13"/>
    <s v="Neha"/>
    <s v="P004"/>
    <s v="Duo Choco Bites"/>
    <x v="1"/>
    <n v="4"/>
    <n v="99"/>
    <n v="10"/>
    <x v="31"/>
    <x v="4"/>
    <x v="0"/>
    <x v="31"/>
  </r>
  <r>
    <x v="418"/>
    <s v="2025-01-10"/>
    <s v="Neha"/>
    <s v="P003"/>
    <s v="Choco Crunch Cone"/>
    <x v="1"/>
    <n v="10"/>
    <n v="86"/>
    <n v="5"/>
    <x v="346"/>
    <x v="4"/>
    <x v="3"/>
    <x v="116"/>
  </r>
  <r>
    <x v="419"/>
    <s v="2025-06-18"/>
    <s v="Amit"/>
    <s v="P007"/>
    <s v="Choco Aura Custom Bar"/>
    <x v="3"/>
    <n v="1"/>
    <n v="128"/>
    <n v="5"/>
    <x v="77"/>
    <x v="0"/>
    <x v="0"/>
    <x v="3"/>
  </r>
  <r>
    <x v="420"/>
    <s v="2025-05-11"/>
    <s v="Pooja"/>
    <s v="P036"/>
    <s v="Classic Dark Chocolate"/>
    <x v="0"/>
    <n v="9"/>
    <n v="139"/>
    <n v="5"/>
    <x v="236"/>
    <x v="4"/>
    <x v="5"/>
    <x v="106"/>
  </r>
  <r>
    <x v="421"/>
    <s v="2025-01-11"/>
    <s v="Vikas"/>
    <s v="P008"/>
    <s v="Hazelnut Praline Chocolate"/>
    <x v="3"/>
    <n v="6"/>
    <n v="76"/>
    <n v="0"/>
    <x v="188"/>
    <x v="1"/>
    <x v="3"/>
    <x v="32"/>
  </r>
  <r>
    <x v="422"/>
    <s v="2025-05-18"/>
    <s v="Arjun"/>
    <s v="P038"/>
    <s v="Choco Biscuit Pops"/>
    <x v="3"/>
    <n v="14"/>
    <n v="113"/>
    <n v="10"/>
    <x v="347"/>
    <x v="1"/>
    <x v="5"/>
    <x v="211"/>
  </r>
  <r>
    <x v="423"/>
    <s v="2025-04-20"/>
    <s v="Anjali"/>
    <s v="P025"/>
    <s v="Berry Blast Chocolate"/>
    <x v="4"/>
    <n v="8"/>
    <n v="168"/>
    <n v="0"/>
    <x v="348"/>
    <x v="0"/>
    <x v="1"/>
    <x v="129"/>
  </r>
  <r>
    <x v="424"/>
    <s v="2025-06-22"/>
    <s v="Meera"/>
    <s v="P028"/>
    <s v="Butterscotch Crunch Bar"/>
    <x v="1"/>
    <n v="6"/>
    <n v="109"/>
    <n v="15"/>
    <x v="349"/>
    <x v="5"/>
    <x v="0"/>
    <x v="197"/>
  </r>
  <r>
    <x v="425"/>
    <s v="2025-02-22"/>
    <s v="Meera"/>
    <s v="P034"/>
    <s v="Signature Cocoa Bars"/>
    <x v="0"/>
    <n v="3"/>
    <n v="154"/>
    <n v="10"/>
    <x v="350"/>
    <x v="0"/>
    <x v="2"/>
    <x v="212"/>
  </r>
  <r>
    <x v="426"/>
    <s v="2025-01-29"/>
    <s v="Vikas"/>
    <s v="P012"/>
    <s v="Cashew Delight Bites"/>
    <x v="0"/>
    <n v="6"/>
    <n v="98"/>
    <n v="0"/>
    <x v="351"/>
    <x v="3"/>
    <x v="3"/>
    <x v="213"/>
  </r>
  <r>
    <x v="427"/>
    <s v="2025-01-08"/>
    <s v="Pooja"/>
    <s v="P025"/>
    <s v="Berry Blast Chocolate"/>
    <x v="4"/>
    <n v="13"/>
    <n v="168"/>
    <n v="0"/>
    <x v="352"/>
    <x v="2"/>
    <x v="3"/>
    <x v="73"/>
  </r>
  <r>
    <x v="428"/>
    <s v="2025-05-10"/>
    <s v="Kiran"/>
    <s v="P027"/>
    <s v="Premium Cocoa Slabs"/>
    <x v="1"/>
    <n v="8"/>
    <n v="135"/>
    <n v="10"/>
    <x v="320"/>
    <x v="5"/>
    <x v="5"/>
    <x v="164"/>
  </r>
  <r>
    <x v="429"/>
    <s v="2025-06-03"/>
    <s v="Neha"/>
    <s v="P005"/>
    <s v="Choco Dip Cookie"/>
    <x v="3"/>
    <n v="14"/>
    <n v="98"/>
    <n v="10"/>
    <x v="213"/>
    <x v="5"/>
    <x v="0"/>
    <x v="214"/>
  </r>
  <r>
    <x v="430"/>
    <s v="2025-01-26"/>
    <s v="Pooja"/>
    <s v="P029"/>
    <s v="Choco Lava Bites"/>
    <x v="2"/>
    <n v="11"/>
    <n v="100"/>
    <n v="0"/>
    <x v="353"/>
    <x v="2"/>
    <x v="3"/>
    <x v="24"/>
  </r>
  <r>
    <x v="431"/>
    <s v="2025-02-09"/>
    <s v="Amit"/>
    <s v="P040"/>
    <s v="Festive Chocolate Pack"/>
    <x v="4"/>
    <n v="1"/>
    <n v="145"/>
    <n v="10"/>
    <x v="354"/>
    <x v="0"/>
    <x v="2"/>
    <x v="131"/>
  </r>
  <r>
    <x v="432"/>
    <s v="2025-05-24"/>
    <s v="Kiran"/>
    <s v="P001"/>
    <s v="Choco Pie Popstick"/>
    <x v="2"/>
    <n v="12"/>
    <n v="74"/>
    <n v="5"/>
    <x v="355"/>
    <x v="4"/>
    <x v="5"/>
    <x v="112"/>
  </r>
  <r>
    <x v="433"/>
    <s v="2025-03-02"/>
    <s v="Arjun"/>
    <s v="P031"/>
    <s v="Honey Almond Chocolate"/>
    <x v="0"/>
    <n v="5"/>
    <n v="119"/>
    <n v="5"/>
    <x v="356"/>
    <x v="2"/>
    <x v="4"/>
    <x v="215"/>
  </r>
  <r>
    <x v="434"/>
    <s v="2025-01-01"/>
    <s v="Anjali"/>
    <s v="P037"/>
    <s v="Golden Caramel Bites"/>
    <x v="2"/>
    <n v="4"/>
    <n v="160"/>
    <n v="0"/>
    <x v="357"/>
    <x v="1"/>
    <x v="3"/>
    <x v="105"/>
  </r>
  <r>
    <x v="435"/>
    <s v="2025-04-27"/>
    <s v="Rohan"/>
    <s v="P021"/>
    <s v="Orange Zest Chocolate"/>
    <x v="3"/>
    <n v="4"/>
    <n v="65"/>
    <n v="0"/>
    <x v="240"/>
    <x v="1"/>
    <x v="1"/>
    <x v="65"/>
  </r>
  <r>
    <x v="436"/>
    <s v="2025-04-21"/>
    <s v="Rahul"/>
    <s v="P017"/>
    <s v="Kesar Milk Chocolate"/>
    <x v="0"/>
    <n v="13"/>
    <n v="151"/>
    <n v="15"/>
    <x v="358"/>
    <x v="2"/>
    <x v="1"/>
    <x v="158"/>
  </r>
  <r>
    <x v="437"/>
    <s v="2025-04-12"/>
    <s v="Kiran"/>
    <s v="P016"/>
    <s v="Nutella Filled Bites"/>
    <x v="0"/>
    <n v="3"/>
    <n v="89"/>
    <n v="5"/>
    <x v="359"/>
    <x v="0"/>
    <x v="1"/>
    <x v="202"/>
  </r>
  <r>
    <x v="438"/>
    <s v="2025-06-02"/>
    <s v="Pooja"/>
    <s v="P018"/>
    <s v="Fruit &amp; Nut Chocolate"/>
    <x v="2"/>
    <n v="11"/>
    <n v="156"/>
    <n v="5"/>
    <x v="149"/>
    <x v="1"/>
    <x v="0"/>
    <x v="13"/>
  </r>
  <r>
    <x v="439"/>
    <s v="2025-01-02"/>
    <s v="Rohan"/>
    <s v="P013"/>
    <s v="Pistachio Fusion Chocolate"/>
    <x v="0"/>
    <n v="10"/>
    <n v="143"/>
    <n v="0"/>
    <x v="360"/>
    <x v="3"/>
    <x v="3"/>
    <x v="145"/>
  </r>
  <r>
    <x v="440"/>
    <s v="2025-04-14"/>
    <s v="Rahul"/>
    <s v="P035"/>
    <s v="Velvet Truffle Bites"/>
    <x v="0"/>
    <n v="4"/>
    <n v="199"/>
    <n v="15"/>
    <x v="66"/>
    <x v="0"/>
    <x v="1"/>
    <x v="62"/>
  </r>
  <r>
    <x v="441"/>
    <s v="2025-05-01"/>
    <s v="Meera"/>
    <s v="P029"/>
    <s v="Choco Lava Bites"/>
    <x v="2"/>
    <n v="15"/>
    <n v="100"/>
    <n v="10"/>
    <x v="70"/>
    <x v="4"/>
    <x v="5"/>
    <x v="197"/>
  </r>
  <r>
    <x v="442"/>
    <s v="2025-04-27"/>
    <s v="Meera"/>
    <s v="P030"/>
    <s v="Royal Dryfruit Mix"/>
    <x v="0"/>
    <n v="13"/>
    <n v="135"/>
    <n v="0"/>
    <x v="361"/>
    <x v="2"/>
    <x v="1"/>
    <x v="98"/>
  </r>
  <r>
    <x v="443"/>
    <s v="2025-04-21"/>
    <s v="Meera"/>
    <s v="P015"/>
    <s v="Caramel Crunch Cubes"/>
    <x v="4"/>
    <n v="2"/>
    <n v="158"/>
    <n v="15"/>
    <x v="362"/>
    <x v="4"/>
    <x v="1"/>
    <x v="216"/>
  </r>
  <r>
    <x v="444"/>
    <s v="2025-03-25"/>
    <s v="Anjali"/>
    <s v="P025"/>
    <s v="Berry Blast Chocolate"/>
    <x v="4"/>
    <n v="1"/>
    <n v="168"/>
    <n v="5"/>
    <x v="98"/>
    <x v="4"/>
    <x v="4"/>
    <x v="87"/>
  </r>
  <r>
    <x v="445"/>
    <s v="2025-06-12"/>
    <s v="Rahul"/>
    <s v="P017"/>
    <s v="Kesar Milk Chocolate"/>
    <x v="0"/>
    <n v="2"/>
    <n v="151"/>
    <n v="10"/>
    <x v="363"/>
    <x v="1"/>
    <x v="0"/>
    <x v="11"/>
  </r>
  <r>
    <x v="446"/>
    <s v="2025-01-16"/>
    <s v="Kiran"/>
    <s v="P030"/>
    <s v="Royal Dryfruit Mix"/>
    <x v="0"/>
    <n v="4"/>
    <n v="135"/>
    <n v="5"/>
    <x v="364"/>
    <x v="3"/>
    <x v="3"/>
    <x v="217"/>
  </r>
  <r>
    <x v="447"/>
    <s v="2025-05-17"/>
    <s v="Neha"/>
    <s v="P023"/>
    <s v="Coconut Delight Bar"/>
    <x v="2"/>
    <n v="11"/>
    <n v="37"/>
    <n v="0"/>
    <x v="365"/>
    <x v="4"/>
    <x v="5"/>
    <x v="163"/>
  </r>
  <r>
    <x v="448"/>
    <s v="2025-01-05"/>
    <s v="Neha"/>
    <s v="P029"/>
    <s v="Choco Lava Bites"/>
    <x v="2"/>
    <n v="8"/>
    <n v="100"/>
    <n v="10"/>
    <x v="366"/>
    <x v="4"/>
    <x v="3"/>
    <x v="113"/>
  </r>
  <r>
    <x v="449"/>
    <s v="2025-01-26"/>
    <s v="Rohan"/>
    <s v="P030"/>
    <s v="Royal Dryfruit Mix"/>
    <x v="0"/>
    <n v="1"/>
    <n v="135"/>
    <n v="15"/>
    <x v="367"/>
    <x v="0"/>
    <x v="3"/>
    <x v="28"/>
  </r>
  <r>
    <x v="450"/>
    <s v="2025-03-25"/>
    <s v="Vikas"/>
    <s v="P012"/>
    <s v="Cashew Delight Bites"/>
    <x v="0"/>
    <n v="6"/>
    <n v="98"/>
    <n v="0"/>
    <x v="351"/>
    <x v="4"/>
    <x v="4"/>
    <x v="213"/>
  </r>
  <r>
    <x v="451"/>
    <s v="2025-01-17"/>
    <s v="Meera"/>
    <s v="P036"/>
    <s v="Classic Dark Chocolate"/>
    <x v="0"/>
    <n v="4"/>
    <n v="139"/>
    <n v="10"/>
    <x v="368"/>
    <x v="1"/>
    <x v="3"/>
    <x v="29"/>
  </r>
  <r>
    <x v="452"/>
    <s v="2025-03-19"/>
    <s v="Anjali"/>
    <s v="P015"/>
    <s v="Caramel Crunch Cubes"/>
    <x v="4"/>
    <n v="14"/>
    <n v="158"/>
    <n v="0"/>
    <x v="369"/>
    <x v="3"/>
    <x v="4"/>
    <x v="218"/>
  </r>
  <r>
    <x v="453"/>
    <s v="2025-01-04"/>
    <s v="Meera"/>
    <s v="P031"/>
    <s v="Honey Almond Chocolate"/>
    <x v="0"/>
    <n v="2"/>
    <n v="119"/>
    <n v="5"/>
    <x v="370"/>
    <x v="1"/>
    <x v="3"/>
    <x v="219"/>
  </r>
  <r>
    <x v="454"/>
    <s v="2025-02-22"/>
    <s v="Anjali"/>
    <s v="P026"/>
    <s v="Silk Ganache Cubes"/>
    <x v="4"/>
    <n v="10"/>
    <n v="82"/>
    <n v="5"/>
    <x v="371"/>
    <x v="3"/>
    <x v="2"/>
    <x v="12"/>
  </r>
  <r>
    <x v="455"/>
    <s v="2025-04-20"/>
    <s v="Pooja"/>
    <s v="P012"/>
    <s v="Cashew Delight Bites"/>
    <x v="0"/>
    <n v="10"/>
    <n v="98"/>
    <n v="5"/>
    <x v="372"/>
    <x v="3"/>
    <x v="1"/>
    <x v="105"/>
  </r>
  <r>
    <x v="456"/>
    <s v="2025-02-03"/>
    <s v="Anjali"/>
    <s v="P009"/>
    <s v="Rose Pista Chocolate"/>
    <x v="4"/>
    <n v="13"/>
    <n v="96"/>
    <n v="10"/>
    <x v="373"/>
    <x v="2"/>
    <x v="2"/>
    <x v="33"/>
  </r>
  <r>
    <x v="457"/>
    <s v="2025-04-12"/>
    <s v="Vikas"/>
    <s v="P003"/>
    <s v="Choco Crunch Cone"/>
    <x v="1"/>
    <n v="15"/>
    <n v="86"/>
    <n v="15"/>
    <x v="181"/>
    <x v="5"/>
    <x v="1"/>
    <x v="111"/>
  </r>
  <r>
    <x v="458"/>
    <s v="2025-01-03"/>
    <s v="Pooja"/>
    <s v="P022"/>
    <s v="Mint Choco Squares"/>
    <x v="4"/>
    <n v="12"/>
    <n v="147"/>
    <n v="10"/>
    <x v="374"/>
    <x v="3"/>
    <x v="3"/>
    <x v="220"/>
  </r>
  <r>
    <x v="459"/>
    <s v="2025-03-29"/>
    <s v="Pooja"/>
    <s v="P005"/>
    <s v="Choco Dip Cookie"/>
    <x v="3"/>
    <n v="14"/>
    <n v="98"/>
    <n v="5"/>
    <x v="23"/>
    <x v="5"/>
    <x v="4"/>
    <x v="214"/>
  </r>
  <r>
    <x v="460"/>
    <s v="2025-05-24"/>
    <s v="Priya"/>
    <s v="P038"/>
    <s v="Choco Biscuit Pops"/>
    <x v="3"/>
    <n v="3"/>
    <n v="113"/>
    <n v="15"/>
    <x v="269"/>
    <x v="2"/>
    <x v="5"/>
    <x v="120"/>
  </r>
  <r>
    <x v="461"/>
    <s v="2025-06-03"/>
    <s v="Rohan"/>
    <s v="P023"/>
    <s v="Coconut Delight Bar"/>
    <x v="2"/>
    <n v="5"/>
    <n v="37"/>
    <n v="0"/>
    <x v="375"/>
    <x v="3"/>
    <x v="0"/>
    <x v="209"/>
  </r>
  <r>
    <x v="462"/>
    <s v="2025-03-04"/>
    <s v="Vikas"/>
    <s v="P014"/>
    <s v="Dark Fantasy Squares"/>
    <x v="2"/>
    <n v="5"/>
    <n v="96"/>
    <n v="5"/>
    <x v="188"/>
    <x v="0"/>
    <x v="4"/>
    <x v="89"/>
  </r>
  <r>
    <x v="463"/>
    <s v="2025-05-04"/>
    <s v="Sneha"/>
    <s v="P037"/>
    <s v="Golden Caramel Bites"/>
    <x v="2"/>
    <n v="15"/>
    <n v="160"/>
    <n v="5"/>
    <x v="257"/>
    <x v="4"/>
    <x v="5"/>
    <x v="170"/>
  </r>
  <r>
    <x v="464"/>
    <s v="2025-06-24"/>
    <s v="Amit"/>
    <s v="P038"/>
    <s v="Choco Biscuit Pops"/>
    <x v="3"/>
    <n v="4"/>
    <n v="113"/>
    <n v="15"/>
    <x v="376"/>
    <x v="2"/>
    <x v="0"/>
    <x v="116"/>
  </r>
  <r>
    <x v="465"/>
    <s v="2025-03-18"/>
    <s v="Arjun"/>
    <s v="P039"/>
    <s v="Luxury Praline Box"/>
    <x v="4"/>
    <n v="8"/>
    <n v="181"/>
    <n v="5"/>
    <x v="377"/>
    <x v="0"/>
    <x v="4"/>
    <x v="101"/>
  </r>
  <r>
    <x v="466"/>
    <s v="2025-03-06"/>
    <s v="Priya"/>
    <s v="P012"/>
    <s v="Cashew Delight Bites"/>
    <x v="0"/>
    <n v="5"/>
    <n v="98"/>
    <n v="15"/>
    <x v="378"/>
    <x v="5"/>
    <x v="4"/>
    <x v="97"/>
  </r>
  <r>
    <x v="467"/>
    <s v="2025-01-01"/>
    <s v="Rohan"/>
    <s v="P017"/>
    <s v="Kesar Milk Chocolate"/>
    <x v="0"/>
    <n v="9"/>
    <n v="151"/>
    <n v="15"/>
    <x v="379"/>
    <x v="3"/>
    <x v="3"/>
    <x v="41"/>
  </r>
  <r>
    <x v="468"/>
    <s v="2025-05-13"/>
    <s v="Rohan"/>
    <s v="P019"/>
    <s v="White Chocolate Truffle"/>
    <x v="1"/>
    <n v="10"/>
    <n v="95"/>
    <n v="10"/>
    <x v="380"/>
    <x v="3"/>
    <x v="5"/>
    <x v="195"/>
  </r>
  <r>
    <x v="469"/>
    <s v="2025-06-05"/>
    <s v="Priya"/>
    <s v="P021"/>
    <s v="Orange Zest Chocolate"/>
    <x v="3"/>
    <n v="3"/>
    <n v="65"/>
    <n v="15"/>
    <x v="381"/>
    <x v="0"/>
    <x v="0"/>
    <x v="221"/>
  </r>
  <r>
    <x v="470"/>
    <s v="2025-05-23"/>
    <s v="Neha"/>
    <s v="P033"/>
    <s v="Milk Chocolate Coins"/>
    <x v="0"/>
    <n v="6"/>
    <n v="52"/>
    <n v="10"/>
    <x v="234"/>
    <x v="0"/>
    <x v="5"/>
    <x v="161"/>
  </r>
  <r>
    <x v="471"/>
    <s v="2025-05-29"/>
    <s v="Anjali"/>
    <s v="P023"/>
    <s v="Coconut Delight Bar"/>
    <x v="2"/>
    <n v="1"/>
    <n v="37"/>
    <n v="5"/>
    <x v="382"/>
    <x v="0"/>
    <x v="5"/>
    <x v="150"/>
  </r>
  <r>
    <x v="472"/>
    <s v="2025-06-22"/>
    <s v="Meera"/>
    <s v="P034"/>
    <s v="Signature Cocoa Bars"/>
    <x v="0"/>
    <n v="5"/>
    <n v="154"/>
    <n v="0"/>
    <x v="383"/>
    <x v="2"/>
    <x v="0"/>
    <x v="167"/>
  </r>
  <r>
    <x v="473"/>
    <s v="2025-01-27"/>
    <s v="Amit"/>
    <s v="P039"/>
    <s v="Luxury Praline Box"/>
    <x v="4"/>
    <n v="14"/>
    <n v="181"/>
    <n v="15"/>
    <x v="384"/>
    <x v="1"/>
    <x v="3"/>
    <x v="78"/>
  </r>
  <r>
    <x v="474"/>
    <s v="2025-05-10"/>
    <s v="Anjali"/>
    <s v="P017"/>
    <s v="Kesar Milk Chocolate"/>
    <x v="0"/>
    <n v="3"/>
    <n v="151"/>
    <n v="0"/>
    <x v="27"/>
    <x v="0"/>
    <x v="5"/>
    <x v="27"/>
  </r>
  <r>
    <x v="475"/>
    <s v="2025-03-12"/>
    <s v="Pooja"/>
    <s v="P018"/>
    <s v="Fruit &amp; Nut Chocolate"/>
    <x v="2"/>
    <n v="7"/>
    <n v="156"/>
    <n v="5"/>
    <x v="385"/>
    <x v="3"/>
    <x v="4"/>
    <x v="222"/>
  </r>
  <r>
    <x v="476"/>
    <s v="2025-02-28"/>
    <s v="Priya"/>
    <s v="P035"/>
    <s v="Velvet Truffle Bites"/>
    <x v="0"/>
    <n v="4"/>
    <n v="199"/>
    <n v="10"/>
    <x v="386"/>
    <x v="4"/>
    <x v="2"/>
    <x v="62"/>
  </r>
  <r>
    <x v="477"/>
    <s v="2025-03-18"/>
    <s v="Amit"/>
    <s v="P004"/>
    <s v="Duo Choco Bites"/>
    <x v="1"/>
    <n v="3"/>
    <n v="99"/>
    <n v="0"/>
    <x v="387"/>
    <x v="2"/>
    <x v="4"/>
    <x v="100"/>
  </r>
  <r>
    <x v="478"/>
    <s v="2025-01-12"/>
    <s v="Rohan"/>
    <s v="P040"/>
    <s v="Festive Chocolate Pack"/>
    <x v="4"/>
    <n v="1"/>
    <n v="145"/>
    <n v="5"/>
    <x v="388"/>
    <x v="3"/>
    <x v="3"/>
    <x v="131"/>
  </r>
  <r>
    <x v="479"/>
    <s v="2025-03-11"/>
    <s v="Sneha"/>
    <s v="P037"/>
    <s v="Golden Caramel Bites"/>
    <x v="2"/>
    <n v="14"/>
    <n v="160"/>
    <n v="10"/>
    <x v="258"/>
    <x v="2"/>
    <x v="4"/>
    <x v="223"/>
  </r>
  <r>
    <x v="480"/>
    <s v="2025-03-07"/>
    <s v="Anjali"/>
    <s v="P033"/>
    <s v="Milk Chocolate Coins"/>
    <x v="0"/>
    <n v="6"/>
    <n v="52"/>
    <n v="15"/>
    <x v="389"/>
    <x v="2"/>
    <x v="4"/>
    <x v="161"/>
  </r>
  <r>
    <x v="481"/>
    <s v="2025-04-13"/>
    <s v="Pooja"/>
    <s v="P002"/>
    <s v="Kunafa Bites"/>
    <x v="3"/>
    <n v="1"/>
    <n v="146"/>
    <n v="5"/>
    <x v="276"/>
    <x v="3"/>
    <x v="1"/>
    <x v="132"/>
  </r>
  <r>
    <x v="482"/>
    <s v="2025-04-19"/>
    <s v="Sneha"/>
    <s v="P011"/>
    <s v="Almond Crunch Bar"/>
    <x v="1"/>
    <n v="1"/>
    <n v="90"/>
    <n v="15"/>
    <x v="390"/>
    <x v="1"/>
    <x v="1"/>
    <x v="224"/>
  </r>
  <r>
    <x v="483"/>
    <s v="2025-01-13"/>
    <s v="Rohan"/>
    <s v="P036"/>
    <s v="Classic Dark Chocolate"/>
    <x v="0"/>
    <n v="12"/>
    <n v="139"/>
    <n v="10"/>
    <x v="391"/>
    <x v="3"/>
    <x v="3"/>
    <x v="160"/>
  </r>
  <r>
    <x v="484"/>
    <s v="2025-04-14"/>
    <s v="Sneha"/>
    <s v="P027"/>
    <s v="Premium Cocoa Slabs"/>
    <x v="1"/>
    <n v="4"/>
    <n v="135"/>
    <n v="15"/>
    <x v="37"/>
    <x v="3"/>
    <x v="1"/>
    <x v="225"/>
  </r>
  <r>
    <x v="485"/>
    <s v="2025-03-08"/>
    <s v="Amit"/>
    <s v="P012"/>
    <s v="Cashew Delight Bites"/>
    <x v="0"/>
    <n v="7"/>
    <n v="98"/>
    <n v="10"/>
    <x v="392"/>
    <x v="1"/>
    <x v="4"/>
    <x v="190"/>
  </r>
  <r>
    <x v="486"/>
    <s v="2025-04-08"/>
    <s v="Amit"/>
    <s v="P007"/>
    <s v="Choco Aura Custom Bar"/>
    <x v="3"/>
    <n v="5"/>
    <n v="128"/>
    <n v="10"/>
    <x v="104"/>
    <x v="0"/>
    <x v="1"/>
    <x v="90"/>
  </r>
  <r>
    <x v="487"/>
    <s v="2025-03-24"/>
    <s v="Sneha"/>
    <s v="P015"/>
    <s v="Caramel Crunch Cubes"/>
    <x v="4"/>
    <n v="14"/>
    <n v="158"/>
    <n v="10"/>
    <x v="393"/>
    <x v="0"/>
    <x v="4"/>
    <x v="218"/>
  </r>
  <r>
    <x v="488"/>
    <s v="2025-01-08"/>
    <s v="Amit"/>
    <s v="P038"/>
    <s v="Choco Biscuit Pops"/>
    <x v="3"/>
    <n v="15"/>
    <n v="113"/>
    <n v="15"/>
    <x v="394"/>
    <x v="4"/>
    <x v="3"/>
    <x v="70"/>
  </r>
  <r>
    <x v="489"/>
    <s v="2025-03-27"/>
    <s v="Meera"/>
    <s v="P037"/>
    <s v="Golden Caramel Bites"/>
    <x v="2"/>
    <n v="4"/>
    <n v="160"/>
    <n v="10"/>
    <x v="104"/>
    <x v="3"/>
    <x v="4"/>
    <x v="105"/>
  </r>
  <r>
    <x v="490"/>
    <s v="2025-04-22"/>
    <s v="Neha"/>
    <s v="P014"/>
    <s v="Dark Fantasy Squares"/>
    <x v="2"/>
    <n v="14"/>
    <n v="96"/>
    <n v="0"/>
    <x v="348"/>
    <x v="5"/>
    <x v="1"/>
    <x v="204"/>
  </r>
  <r>
    <x v="491"/>
    <s v="2025-04-17"/>
    <s v="Rohan"/>
    <s v="P031"/>
    <s v="Honey Almond Chocolate"/>
    <x v="0"/>
    <n v="4"/>
    <n v="119"/>
    <n v="0"/>
    <x v="395"/>
    <x v="4"/>
    <x v="1"/>
    <x v="226"/>
  </r>
  <r>
    <x v="492"/>
    <s v="2025-02-12"/>
    <s v="Arjun"/>
    <s v="P019"/>
    <s v="White Chocolate Truffle"/>
    <x v="1"/>
    <n v="7"/>
    <n v="95"/>
    <n v="5"/>
    <x v="396"/>
    <x v="0"/>
    <x v="2"/>
    <x v="227"/>
  </r>
  <r>
    <x v="493"/>
    <s v="2025-03-24"/>
    <s v="Vikas"/>
    <s v="P024"/>
    <s v="Crunchy Wafer Chocolate"/>
    <x v="1"/>
    <n v="15"/>
    <n v="144"/>
    <n v="0"/>
    <x v="219"/>
    <x v="4"/>
    <x v="4"/>
    <x v="160"/>
  </r>
  <r>
    <x v="494"/>
    <s v="2025-06-08"/>
    <s v="Vikas"/>
    <s v="P022"/>
    <s v="Mint Choco Squares"/>
    <x v="4"/>
    <n v="2"/>
    <n v="147"/>
    <n v="5"/>
    <x v="397"/>
    <x v="5"/>
    <x v="0"/>
    <x v="225"/>
  </r>
  <r>
    <x v="495"/>
    <s v="2025-01-05"/>
    <s v="Priya"/>
    <s v="P003"/>
    <s v="Choco Crunch Cone"/>
    <x v="1"/>
    <n v="11"/>
    <n v="86"/>
    <n v="0"/>
    <x v="286"/>
    <x v="3"/>
    <x v="3"/>
    <x v="105"/>
  </r>
  <r>
    <x v="496"/>
    <s v="2025-03-03"/>
    <s v="Vikas"/>
    <s v="P006"/>
    <s v="Love Loaded Chocolate Bar"/>
    <x v="4"/>
    <n v="6"/>
    <n v="140"/>
    <n v="15"/>
    <x v="398"/>
    <x v="4"/>
    <x v="4"/>
    <x v="228"/>
  </r>
  <r>
    <x v="497"/>
    <s v="2025-04-26"/>
    <s v="Vikas"/>
    <s v="P018"/>
    <s v="Fruit &amp; Nut Chocolate"/>
    <x v="2"/>
    <n v="7"/>
    <n v="156"/>
    <n v="5"/>
    <x v="385"/>
    <x v="5"/>
    <x v="1"/>
    <x v="222"/>
  </r>
  <r>
    <x v="498"/>
    <s v="2025-02-21"/>
    <s v="Arjun"/>
    <s v="P019"/>
    <s v="White Chocolate Truffle"/>
    <x v="1"/>
    <n v="1"/>
    <n v="95"/>
    <n v="15"/>
    <x v="399"/>
    <x v="2"/>
    <x v="2"/>
    <x v="229"/>
  </r>
  <r>
    <x v="499"/>
    <s v="2025-04-18"/>
    <s v="Kiran"/>
    <s v="P033"/>
    <s v="Milk Chocolate Coins"/>
    <x v="0"/>
    <n v="10"/>
    <n v="52"/>
    <n v="0"/>
    <x v="62"/>
    <x v="3"/>
    <x v="1"/>
    <x v="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O0001"/>
    <s v="2025-06-25"/>
    <s v="Arjun"/>
    <s v="P013"/>
    <s v="Pistachio Fusion Chocolate"/>
    <s v="Cookies"/>
    <n v="1"/>
    <n v="143"/>
    <n v="10"/>
    <n v="128.69999999999999"/>
    <s v="Delhi"/>
    <s v="Jun"/>
    <n v="42"/>
  </r>
  <r>
    <s v="O0002"/>
    <s v="2025-04-21"/>
    <s v="Rahul"/>
    <s v="P019"/>
    <s v="White Chocolate Truffle"/>
    <s v="Bars"/>
    <n v="13"/>
    <n v="95"/>
    <n v="5"/>
    <n v="1173.25"/>
    <s v="Mumbai"/>
    <s v="Apr"/>
    <n v="962"/>
  </r>
  <r>
    <s v="O0003"/>
    <s v="2025-02-06"/>
    <s v="Arjun"/>
    <s v="P037"/>
    <s v="Golden Caramel Bites"/>
    <s v="Snacks"/>
    <n v="11"/>
    <n v="160"/>
    <n v="0"/>
    <n v="1760"/>
    <s v="Chennai"/>
    <s v="Feb"/>
    <n v="605"/>
  </r>
  <r>
    <s v="O0004"/>
    <s v="2025-01-31"/>
    <s v="Rohan"/>
    <s v="P017"/>
    <s v="Kesar Milk Chocolate"/>
    <s v="Cookies"/>
    <n v="1"/>
    <n v="151"/>
    <n v="0"/>
    <n v="151"/>
    <s v="Delhi"/>
    <s v="Jan"/>
    <n v="53"/>
  </r>
  <r>
    <s v="O0005"/>
    <s v="2025-04-07"/>
    <s v="Pooja"/>
    <s v="P002"/>
    <s v="Kunafa Bites"/>
    <s v="Premium"/>
    <n v="5"/>
    <n v="146"/>
    <n v="10"/>
    <n v="657"/>
    <s v="Mumbai"/>
    <s v="Apr"/>
    <n v="250"/>
  </r>
  <r>
    <s v="O0006"/>
    <s v="2025-04-26"/>
    <s v="Kiran"/>
    <s v="P034"/>
    <s v="Signature Cocoa Bars"/>
    <s v="Cookies"/>
    <n v="6"/>
    <n v="154"/>
    <n v="10"/>
    <n v="831.6"/>
    <s v="Bangalore"/>
    <s v="Apr"/>
    <n v="348"/>
  </r>
  <r>
    <s v="O0007"/>
    <s v="2025-02-19"/>
    <s v="Rohan"/>
    <s v="P036"/>
    <s v="Classic Dark Chocolate"/>
    <s v="Cookies"/>
    <n v="15"/>
    <n v="139"/>
    <n v="0"/>
    <n v="2085"/>
    <s v="Bangalore"/>
    <s v="Feb"/>
    <n v="1050"/>
  </r>
  <r>
    <s v="O0008"/>
    <s v="2025-04-15"/>
    <s v="Sneha"/>
    <s v="P017"/>
    <s v="Kesar Milk Chocolate"/>
    <s v="Cookies"/>
    <n v="4"/>
    <n v="151"/>
    <n v="15"/>
    <n v="513.4"/>
    <s v="Pune"/>
    <s v="Apr"/>
    <n v="212"/>
  </r>
  <r>
    <s v="O0009"/>
    <s v="2025-03-10"/>
    <s v="Vikas"/>
    <s v="P013"/>
    <s v="Pistachio Fusion Chocolate"/>
    <s v="Cookies"/>
    <n v="7"/>
    <n v="143"/>
    <n v="0"/>
    <n v="1001"/>
    <s v="Bangalore"/>
    <s v="Mar"/>
    <n v="294"/>
  </r>
  <r>
    <s v="O0010"/>
    <s v="2025-02-01"/>
    <s v="Anjali"/>
    <s v="P022"/>
    <s v="Mint Choco Squares"/>
    <s v="Festive"/>
    <n v="11"/>
    <n v="147"/>
    <n v="10"/>
    <n v="1455.3"/>
    <s v="Pune"/>
    <s v="Feb"/>
    <n v="946"/>
  </r>
  <r>
    <s v="O0011"/>
    <s v="2025-05-27"/>
    <s v="Kiran"/>
    <s v="P016"/>
    <s v="Nutella Filled Bites"/>
    <s v="Cookies"/>
    <n v="14"/>
    <n v="89"/>
    <n v="0"/>
    <n v="1246"/>
    <s v="Bangalore"/>
    <s v="May"/>
    <n v="910"/>
  </r>
  <r>
    <s v="O0012"/>
    <s v="2025-01-28"/>
    <s v="Anjali"/>
    <s v="P017"/>
    <s v="Kesar Milk Chocolate"/>
    <s v="Cookies"/>
    <n v="2"/>
    <n v="151"/>
    <n v="5"/>
    <n v="286.89999999999998"/>
    <s v="Pune"/>
    <s v="Jan"/>
    <n v="106"/>
  </r>
  <r>
    <s v="O0013"/>
    <s v="2025-04-13"/>
    <s v="Sneha"/>
    <s v="P002"/>
    <s v="Kunafa Bites"/>
    <s v="Premium"/>
    <n v="8"/>
    <n v="146"/>
    <n v="15"/>
    <n v="992.8"/>
    <s v="Mumbai"/>
    <s v="Apr"/>
    <n v="400"/>
  </r>
  <r>
    <s v="O0014"/>
    <s v="2025-01-17"/>
    <s v="Vikas"/>
    <s v="P039"/>
    <s v="Luxury Praline Box"/>
    <s v="Festive"/>
    <n v="11"/>
    <n v="181"/>
    <n v="5"/>
    <n v="1891.45"/>
    <s v="Pune"/>
    <s v="Jan"/>
    <n v="693"/>
  </r>
  <r>
    <s v="O0015"/>
    <s v="2025-01-09"/>
    <s v="Kiran"/>
    <s v="P003"/>
    <s v="Choco Crunch Cone"/>
    <s v="Bars"/>
    <n v="1"/>
    <n v="86"/>
    <n v="5"/>
    <n v="81.7"/>
    <s v="Bangalore"/>
    <s v="Jan"/>
    <n v="20"/>
  </r>
  <r>
    <s v="O0016"/>
    <s v="2025-06-11"/>
    <s v="Rahul"/>
    <s v="P015"/>
    <s v="Caramel Crunch Cubes"/>
    <s v="Festive"/>
    <n v="7"/>
    <n v="158"/>
    <n v="0"/>
    <n v="1106"/>
    <s v="Chennai"/>
    <s v="Jun"/>
    <n v="665"/>
  </r>
  <r>
    <s v="O0017"/>
    <s v="2025-04-29"/>
    <s v="Pooja"/>
    <s v="P040"/>
    <s v="Festive Chocolate Pack"/>
    <s v="Festive"/>
    <n v="11"/>
    <n v="145"/>
    <n v="10"/>
    <n v="1435.5"/>
    <s v="Hyderabad"/>
    <s v="Apr"/>
    <n v="902"/>
  </r>
  <r>
    <s v="O0018"/>
    <s v="2025-06-06"/>
    <s v="Priya"/>
    <s v="P011"/>
    <s v="Almond Crunch Bar"/>
    <s v="Bars"/>
    <n v="2"/>
    <n v="90"/>
    <n v="5"/>
    <n v="171"/>
    <s v="Bangalore"/>
    <s v="Jun"/>
    <n v="62"/>
  </r>
  <r>
    <s v="O0019"/>
    <s v="2025-05-25"/>
    <s v="Vikas"/>
    <s v="P034"/>
    <s v="Signature Cocoa Bars"/>
    <s v="Cookies"/>
    <n v="9"/>
    <n v="154"/>
    <n v="5"/>
    <n v="1316.7"/>
    <s v="Bangalore"/>
    <s v="May"/>
    <n v="522"/>
  </r>
  <r>
    <s v="O0020"/>
    <s v="2025-05-24"/>
    <s v="Vikas"/>
    <s v="P022"/>
    <s v="Mint Choco Squares"/>
    <s v="Festive"/>
    <n v="15"/>
    <n v="147"/>
    <n v="10"/>
    <n v="1984.5"/>
    <s v="Delhi"/>
    <s v="May"/>
    <n v="1290"/>
  </r>
  <r>
    <s v="O0021"/>
    <s v="2025-06-20"/>
    <s v="Amit"/>
    <s v="P018"/>
    <s v="Fruit &amp; Nut Chocolate"/>
    <s v="Snacks"/>
    <n v="3"/>
    <n v="156"/>
    <n v="0"/>
    <n v="468"/>
    <s v="Pune"/>
    <s v="Jun"/>
    <n v="189"/>
  </r>
  <r>
    <s v="O0022"/>
    <s v="2025-04-26"/>
    <s v="Sneha"/>
    <s v="P035"/>
    <s v="Velvet Truffle Bites"/>
    <s v="Cookies"/>
    <n v="1"/>
    <n v="199"/>
    <n v="0"/>
    <n v="199"/>
    <s v="Chennai"/>
    <s v="Apr"/>
    <n v="93"/>
  </r>
  <r>
    <s v="O0023"/>
    <s v="2025-03-29"/>
    <s v="Priya"/>
    <s v="P007"/>
    <s v="Choco Aura Custom Bar"/>
    <s v="Premium"/>
    <n v="7"/>
    <n v="128"/>
    <n v="0"/>
    <n v="896"/>
    <s v="Bangalore"/>
    <s v="Mar"/>
    <n v="371"/>
  </r>
  <r>
    <s v="O0024"/>
    <s v="2025-03-30"/>
    <s v="Anjali"/>
    <s v="P012"/>
    <s v="Cashew Delight Bites"/>
    <s v="Cookies"/>
    <n v="14"/>
    <n v="98"/>
    <n v="5"/>
    <n v="1303.4000000000001"/>
    <s v="Pune"/>
    <s v="Mar"/>
    <n v="308"/>
  </r>
  <r>
    <s v="O0025"/>
    <s v="2025-02-22"/>
    <s v="Amit"/>
    <s v="P012"/>
    <s v="Cashew Delight Bites"/>
    <s v="Cookies"/>
    <n v="11"/>
    <n v="98"/>
    <n v="15"/>
    <n v="916.3"/>
    <s v="Chennai"/>
    <s v="Feb"/>
    <n v="242"/>
  </r>
  <r>
    <s v="O0026"/>
    <s v="2025-06-30"/>
    <s v="Rohan"/>
    <s v="P010"/>
    <s v="Dry Fruit Special Chocolate"/>
    <s v="Bars"/>
    <n v="6"/>
    <n v="160"/>
    <n v="15"/>
    <n v="816"/>
    <s v="Chennai"/>
    <s v="Jun"/>
    <n v="396"/>
  </r>
  <r>
    <s v="O0027"/>
    <s v="2025-05-02"/>
    <s v="Pooja"/>
    <s v="P025"/>
    <s v="Berry Blast Chocolate"/>
    <s v="Festive"/>
    <n v="9"/>
    <n v="168"/>
    <n v="10"/>
    <n v="1360.8"/>
    <s v="Mumbai"/>
    <s v="May"/>
    <n v="495"/>
  </r>
  <r>
    <s v="O0028"/>
    <s v="2025-03-21"/>
    <s v="Vikas"/>
    <s v="P017"/>
    <s v="Kesar Milk Chocolate"/>
    <s v="Cookies"/>
    <n v="3"/>
    <n v="151"/>
    <n v="0"/>
    <n v="453"/>
    <s v="Bangalore"/>
    <s v="Mar"/>
    <n v="159"/>
  </r>
  <r>
    <s v="O0029"/>
    <s v="2025-02-08"/>
    <s v="Neha"/>
    <s v="P026"/>
    <s v="Silk Ganache Cubes"/>
    <s v="Festive"/>
    <n v="2"/>
    <n v="82"/>
    <n v="5"/>
    <n v="155.80000000000001"/>
    <s v="Chennai"/>
    <s v="Feb"/>
    <n v="80"/>
  </r>
  <r>
    <s v="O0030"/>
    <s v="2025-03-18"/>
    <s v="Priya"/>
    <s v="P001"/>
    <s v="Choco Pie Popstick"/>
    <s v="Snacks"/>
    <n v="10"/>
    <n v="74"/>
    <n v="0"/>
    <n v="740"/>
    <s v="Pune"/>
    <s v="Mar"/>
    <n v="280"/>
  </r>
  <r>
    <s v="O0031"/>
    <s v="2025-04-25"/>
    <s v="Amit"/>
    <s v="P018"/>
    <s v="Fruit &amp; Nut Chocolate"/>
    <s v="Snacks"/>
    <n v="4"/>
    <n v="156"/>
    <n v="5"/>
    <n v="592.79999999999995"/>
    <s v="Chennai"/>
    <s v="Apr"/>
    <n v="252"/>
  </r>
  <r>
    <s v="O0032"/>
    <s v="2025-03-22"/>
    <s v="Neha"/>
    <s v="P004"/>
    <s v="Duo Choco Bites"/>
    <s v="Bars"/>
    <n v="4"/>
    <n v="99"/>
    <n v="10"/>
    <n v="356.4"/>
    <s v="Pune"/>
    <s v="Mar"/>
    <n v="96"/>
  </r>
  <r>
    <s v="O0033"/>
    <s v="2025-05-25"/>
    <s v="Meera"/>
    <s v="P008"/>
    <s v="Hazelnut Praline Chocolate"/>
    <s v="Premium"/>
    <n v="6"/>
    <n v="76"/>
    <n v="15"/>
    <n v="387.6"/>
    <s v="Delhi"/>
    <s v="May"/>
    <n v="180"/>
  </r>
  <r>
    <s v="O0034"/>
    <s v="2025-04-21"/>
    <s v="Arjun"/>
    <s v="P039"/>
    <s v="Luxury Praline Box"/>
    <s v="Festive"/>
    <n v="4"/>
    <n v="181"/>
    <n v="5"/>
    <n v="687.8"/>
    <s v="Pune"/>
    <s v="Apr"/>
    <n v="252"/>
  </r>
  <r>
    <s v="O0035"/>
    <s v="2025-01-21"/>
    <s v="Kiran"/>
    <s v="P004"/>
    <s v="Duo Choco Bites"/>
    <s v="Bars"/>
    <n v="13"/>
    <n v="99"/>
    <n v="15"/>
    <n v="1093.95"/>
    <s v="Hyderabad"/>
    <s v="Jan"/>
    <n v="312"/>
  </r>
  <r>
    <s v="O0036"/>
    <s v="2025-02-13"/>
    <s v="Rahul"/>
    <s v="P009"/>
    <s v="Rose Pista Chocolate"/>
    <s v="Festive"/>
    <n v="15"/>
    <n v="96"/>
    <n v="5"/>
    <n v="1368"/>
    <s v="Bangalore"/>
    <s v="Feb"/>
    <n v="360"/>
  </r>
  <r>
    <s v="O0037"/>
    <s v="2025-05-07"/>
    <s v="Neha"/>
    <s v="P032"/>
    <s v="Choco Fudge Squares"/>
    <s v="Premium"/>
    <n v="6"/>
    <n v="130"/>
    <n v="5"/>
    <n v="741"/>
    <s v="Mumbai"/>
    <s v="May"/>
    <n v="270"/>
  </r>
  <r>
    <s v="O0038"/>
    <s v="2025-03-29"/>
    <s v="Priya"/>
    <s v="P011"/>
    <s v="Almond Crunch Bar"/>
    <s v="Bars"/>
    <n v="6"/>
    <n v="90"/>
    <n v="15"/>
    <n v="459"/>
    <s v="Chennai"/>
    <s v="Mar"/>
    <n v="186"/>
  </r>
  <r>
    <s v="O0039"/>
    <s v="2025-03-08"/>
    <s v="Anjali"/>
    <s v="P006"/>
    <s v="Love Loaded Chocolate Bar"/>
    <s v="Festive"/>
    <n v="8"/>
    <n v="140"/>
    <n v="10"/>
    <n v="1008"/>
    <s v="Mumbai"/>
    <s v="Mar"/>
    <n v="784"/>
  </r>
  <r>
    <s v="O0040"/>
    <s v="2025-05-17"/>
    <s v="Pooja"/>
    <s v="P001"/>
    <s v="Choco Pie Popstick"/>
    <s v="Snacks"/>
    <n v="4"/>
    <n v="74"/>
    <n v="15"/>
    <n v="251.6"/>
    <s v="Hyderabad"/>
    <s v="May"/>
    <n v="112"/>
  </r>
  <r>
    <s v="O0041"/>
    <s v="2025-04-16"/>
    <s v="Arjun"/>
    <s v="P027"/>
    <s v="Premium Cocoa Slabs"/>
    <s v="Bars"/>
    <n v="9"/>
    <n v="135"/>
    <n v="0"/>
    <n v="1215"/>
    <s v="Delhi"/>
    <s v="Apr"/>
    <n v="387"/>
  </r>
  <r>
    <s v="O0042"/>
    <s v="2025-02-24"/>
    <s v="Neha"/>
    <s v="P033"/>
    <s v="Milk Chocolate Coins"/>
    <s v="Cookies"/>
    <n v="7"/>
    <n v="52"/>
    <n v="10"/>
    <n v="327.60000000000002"/>
    <s v="Delhi"/>
    <s v="Feb"/>
    <n v="273"/>
  </r>
  <r>
    <s v="O0043"/>
    <s v="2025-05-05"/>
    <s v="Kiran"/>
    <s v="P007"/>
    <s v="Choco Aura Custom Bar"/>
    <s v="Premium"/>
    <n v="9"/>
    <n v="128"/>
    <n v="15"/>
    <n v="979.2"/>
    <s v="Pune"/>
    <s v="May"/>
    <n v="477"/>
  </r>
  <r>
    <s v="O0044"/>
    <s v="2025-04-19"/>
    <s v="Pooja"/>
    <s v="P004"/>
    <s v="Duo Choco Bites"/>
    <s v="Bars"/>
    <n v="10"/>
    <n v="99"/>
    <n v="15"/>
    <n v="841.5"/>
    <s v="Delhi"/>
    <s v="Apr"/>
    <n v="240"/>
  </r>
  <r>
    <s v="O0045"/>
    <s v="2025-03-10"/>
    <s v="Meera"/>
    <s v="P013"/>
    <s v="Pistachio Fusion Chocolate"/>
    <s v="Cookies"/>
    <n v="4"/>
    <n v="143"/>
    <n v="0"/>
    <n v="572"/>
    <s v="Mumbai"/>
    <s v="Mar"/>
    <n v="168"/>
  </r>
  <r>
    <s v="O0046"/>
    <s v="2025-03-11"/>
    <s v="Sneha"/>
    <s v="P016"/>
    <s v="Nutella Filled Bites"/>
    <s v="Cookies"/>
    <n v="5"/>
    <n v="89"/>
    <n v="15"/>
    <n v="378.25"/>
    <s v="Bangalore"/>
    <s v="Mar"/>
    <n v="325"/>
  </r>
  <r>
    <s v="O0047"/>
    <s v="2025-02-14"/>
    <s v="Priya"/>
    <s v="P040"/>
    <s v="Festive Chocolate Pack"/>
    <s v="Festive"/>
    <n v="9"/>
    <n v="145"/>
    <n v="15"/>
    <n v="1109.25"/>
    <s v="Mumbai"/>
    <s v="Feb"/>
    <n v="738"/>
  </r>
  <r>
    <s v="O0048"/>
    <s v="2025-06-11"/>
    <s v="Priya"/>
    <s v="P021"/>
    <s v="Orange Zest Chocolate"/>
    <s v="Premium"/>
    <n v="9"/>
    <n v="65"/>
    <n v="10"/>
    <n v="526.5"/>
    <s v="Pune"/>
    <s v="Jun"/>
    <n v="198"/>
  </r>
  <r>
    <s v="O0049"/>
    <s v="2025-06-27"/>
    <s v="Sneha"/>
    <s v="P003"/>
    <s v="Choco Crunch Cone"/>
    <s v="Bars"/>
    <n v="14"/>
    <n v="86"/>
    <n v="0"/>
    <n v="1204"/>
    <s v="Mumbai"/>
    <s v="Jun"/>
    <n v="280"/>
  </r>
  <r>
    <s v="O0050"/>
    <s v="2025-06-01"/>
    <s v="Neha"/>
    <s v="P023"/>
    <s v="Coconut Delight Bar"/>
    <s v="Snacks"/>
    <n v="3"/>
    <n v="37"/>
    <n v="5"/>
    <n v="105.45"/>
    <s v="Mumbai"/>
    <s v="Jun"/>
    <n v="78"/>
  </r>
  <r>
    <s v="O0051"/>
    <s v="2025-06-30"/>
    <s v="Priya"/>
    <s v="P002"/>
    <s v="Kunafa Bites"/>
    <s v="Premium"/>
    <n v="9"/>
    <n v="146"/>
    <n v="0"/>
    <n v="1314"/>
    <s v="Delhi"/>
    <s v="Jun"/>
    <n v="450"/>
  </r>
  <r>
    <s v="O0052"/>
    <s v="2025-06-07"/>
    <s v="Pooja"/>
    <s v="P027"/>
    <s v="Premium Cocoa Slabs"/>
    <s v="Bars"/>
    <n v="6"/>
    <n v="135"/>
    <n v="5"/>
    <n v="769.5"/>
    <s v="Mumbai"/>
    <s v="Jun"/>
    <n v="258"/>
  </r>
  <r>
    <s v="O0053"/>
    <s v="2025-03-28"/>
    <s v="Pooja"/>
    <s v="P039"/>
    <s v="Luxury Praline Box"/>
    <s v="Festive"/>
    <n v="12"/>
    <n v="181"/>
    <n v="0"/>
    <n v="2172"/>
    <s v="Delhi"/>
    <s v="Mar"/>
    <n v="756"/>
  </r>
  <r>
    <s v="O0054"/>
    <s v="2025-02-08"/>
    <s v="Amit"/>
    <s v="P011"/>
    <s v="Almond Crunch Bar"/>
    <s v="Bars"/>
    <n v="15"/>
    <n v="90"/>
    <n v="15"/>
    <n v="1147.5"/>
    <s v="Delhi"/>
    <s v="Feb"/>
    <n v="465"/>
  </r>
  <r>
    <s v="O0055"/>
    <s v="2025-04-15"/>
    <s v="Neha"/>
    <s v="P036"/>
    <s v="Classic Dark Chocolate"/>
    <s v="Cookies"/>
    <n v="14"/>
    <n v="139"/>
    <n v="5"/>
    <n v="1848.7"/>
    <s v="Mumbai"/>
    <s v="Apr"/>
    <n v="980"/>
  </r>
  <r>
    <s v="O0056"/>
    <s v="2025-04-14"/>
    <s v="Amit"/>
    <s v="P037"/>
    <s v="Golden Caramel Bites"/>
    <s v="Snacks"/>
    <n v="7"/>
    <n v="160"/>
    <n v="15"/>
    <n v="952"/>
    <s v="Chennai"/>
    <s v="Apr"/>
    <n v="385"/>
  </r>
  <r>
    <s v="O0057"/>
    <s v="2025-01-13"/>
    <s v="Rahul"/>
    <s v="P005"/>
    <s v="Choco Dip Cookie"/>
    <s v="Premium"/>
    <n v="8"/>
    <n v="98"/>
    <n v="10"/>
    <n v="705.6"/>
    <s v="Delhi"/>
    <s v="Jan"/>
    <n v="464"/>
  </r>
  <r>
    <s v="O0058"/>
    <s v="2025-03-27"/>
    <s v="Neha"/>
    <s v="P009"/>
    <s v="Rose Pista Chocolate"/>
    <s v="Festive"/>
    <n v="2"/>
    <n v="96"/>
    <n v="5"/>
    <n v="182.4"/>
    <s v="Delhi"/>
    <s v="Mar"/>
    <n v="48"/>
  </r>
  <r>
    <s v="O0059"/>
    <s v="2025-04-09"/>
    <s v="Anjali"/>
    <s v="P021"/>
    <s v="Orange Zest Chocolate"/>
    <s v="Premium"/>
    <n v="2"/>
    <n v="65"/>
    <n v="15"/>
    <n v="110.5"/>
    <s v="Delhi"/>
    <s v="Apr"/>
    <n v="44"/>
  </r>
  <r>
    <s v="O0060"/>
    <s v="2025-03-29"/>
    <s v="Amit"/>
    <s v="P030"/>
    <s v="Royal Dryfruit Mix"/>
    <s v="Cookies"/>
    <n v="1"/>
    <n v="135"/>
    <n v="10"/>
    <n v="121.5"/>
    <s v="Hyderabad"/>
    <s v="Mar"/>
    <n v="80"/>
  </r>
  <r>
    <s v="O0061"/>
    <s v="2025-05-17"/>
    <s v="Sneha"/>
    <s v="P015"/>
    <s v="Caramel Crunch Cubes"/>
    <s v="Festive"/>
    <n v="7"/>
    <n v="158"/>
    <n v="0"/>
    <n v="1106"/>
    <s v="Pune"/>
    <s v="May"/>
    <n v="665"/>
  </r>
  <r>
    <s v="O0062"/>
    <s v="2025-06-02"/>
    <s v="Arjun"/>
    <s v="P009"/>
    <s v="Rose Pista Chocolate"/>
    <s v="Festive"/>
    <n v="12"/>
    <n v="96"/>
    <n v="0"/>
    <n v="1152"/>
    <s v="Chennai"/>
    <s v="Jun"/>
    <n v="288"/>
  </r>
  <r>
    <s v="O0063"/>
    <s v="2025-01-15"/>
    <s v="Neha"/>
    <s v="P017"/>
    <s v="Kesar Milk Chocolate"/>
    <s v="Cookies"/>
    <n v="14"/>
    <n v="151"/>
    <n v="0"/>
    <n v="2114"/>
    <s v="Hyderabad"/>
    <s v="Jan"/>
    <n v="742"/>
  </r>
  <r>
    <s v="O0064"/>
    <s v="2025-01-19"/>
    <s v="Priya"/>
    <s v="P032"/>
    <s v="Choco Fudge Squares"/>
    <s v="Premium"/>
    <n v="4"/>
    <n v="130"/>
    <n v="0"/>
    <n v="520"/>
    <s v="Hyderabad"/>
    <s v="Jan"/>
    <n v="180"/>
  </r>
  <r>
    <s v="O0065"/>
    <s v="2025-01-06"/>
    <s v="Rahul"/>
    <s v="P031"/>
    <s v="Honey Almond Chocolate"/>
    <s v="Cookies"/>
    <n v="7"/>
    <n v="119"/>
    <n v="0"/>
    <n v="833"/>
    <s v="Bangalore"/>
    <s v="Jan"/>
    <n v="329"/>
  </r>
  <r>
    <s v="O0066"/>
    <s v="2025-01-14"/>
    <s v="Amit"/>
    <s v="P030"/>
    <s v="Royal Dryfruit Mix"/>
    <s v="Cookies"/>
    <n v="2"/>
    <n v="135"/>
    <n v="15"/>
    <n v="229.5"/>
    <s v="Mumbai"/>
    <s v="Jan"/>
    <n v="160"/>
  </r>
  <r>
    <s v="O0067"/>
    <s v="2025-02-05"/>
    <s v="Amit"/>
    <s v="P006"/>
    <s v="Love Loaded Chocolate Bar"/>
    <s v="Festive"/>
    <n v="7"/>
    <n v="140"/>
    <n v="0"/>
    <n v="980"/>
    <s v="Hyderabad"/>
    <s v="Feb"/>
    <n v="686"/>
  </r>
  <r>
    <s v="O0068"/>
    <s v="2025-04-22"/>
    <s v="Anjali"/>
    <s v="P035"/>
    <s v="Velvet Truffle Bites"/>
    <s v="Cookies"/>
    <n v="4"/>
    <n v="199"/>
    <n v="15"/>
    <n v="676.6"/>
    <s v="Mumbai"/>
    <s v="Apr"/>
    <n v="372"/>
  </r>
  <r>
    <s v="O0069"/>
    <s v="2025-04-11"/>
    <s v="Meera"/>
    <s v="P016"/>
    <s v="Nutella Filled Bites"/>
    <s v="Cookies"/>
    <n v="13"/>
    <n v="89"/>
    <n v="5"/>
    <n v="1099.1500000000001"/>
    <s v="Hyderabad"/>
    <s v="Apr"/>
    <n v="845"/>
  </r>
  <r>
    <s v="O0070"/>
    <s v="2025-05-24"/>
    <s v="Arjun"/>
    <s v="P008"/>
    <s v="Hazelnut Praline Chocolate"/>
    <s v="Premium"/>
    <n v="13"/>
    <n v="76"/>
    <n v="15"/>
    <n v="839.8"/>
    <s v="Chennai"/>
    <s v="May"/>
    <n v="390"/>
  </r>
  <r>
    <s v="O0071"/>
    <s v="2025-05-06"/>
    <s v="Meera"/>
    <s v="P029"/>
    <s v="Choco Lava Bites"/>
    <s v="Snacks"/>
    <n v="4"/>
    <n v="100"/>
    <n v="15"/>
    <n v="340"/>
    <s v="Bangalore"/>
    <s v="May"/>
    <n v="88"/>
  </r>
  <r>
    <s v="O0072"/>
    <s v="2025-03-21"/>
    <s v="Kiran"/>
    <s v="P030"/>
    <s v="Royal Dryfruit Mix"/>
    <s v="Cookies"/>
    <n v="10"/>
    <n v="135"/>
    <n v="0"/>
    <n v="1350"/>
    <s v="Pune"/>
    <s v="Mar"/>
    <n v="800"/>
  </r>
  <r>
    <s v="O0073"/>
    <s v="2025-06-14"/>
    <s v="Rohan"/>
    <s v="P018"/>
    <s v="Fruit &amp; Nut Chocolate"/>
    <s v="Snacks"/>
    <n v="11"/>
    <n v="156"/>
    <n v="10"/>
    <n v="1544.4"/>
    <s v="Pune"/>
    <s v="Jun"/>
    <n v="693"/>
  </r>
  <r>
    <s v="O0074"/>
    <s v="2025-01-03"/>
    <s v="Priya"/>
    <s v="P018"/>
    <s v="Fruit &amp; Nut Chocolate"/>
    <s v="Snacks"/>
    <n v="9"/>
    <n v="156"/>
    <n v="15"/>
    <n v="1193.4000000000001"/>
    <s v="Hyderabad"/>
    <s v="Jan"/>
    <n v="567"/>
  </r>
  <r>
    <s v="O0075"/>
    <s v="2025-06-14"/>
    <s v="Pooja"/>
    <s v="P039"/>
    <s v="Luxury Praline Box"/>
    <s v="Festive"/>
    <n v="1"/>
    <n v="181"/>
    <n v="5"/>
    <n v="171.95"/>
    <s v="Bangalore"/>
    <s v="Jun"/>
    <n v="63"/>
  </r>
  <r>
    <s v="O0076"/>
    <s v="2025-02-17"/>
    <s v="Amit"/>
    <s v="P040"/>
    <s v="Festive Chocolate Pack"/>
    <s v="Festive"/>
    <n v="14"/>
    <n v="145"/>
    <n v="0"/>
    <n v="2030"/>
    <s v="Hyderabad"/>
    <s v="Feb"/>
    <n v="1148"/>
  </r>
  <r>
    <s v="O0077"/>
    <s v="2025-02-16"/>
    <s v="Kiran"/>
    <s v="P002"/>
    <s v="Kunafa Bites"/>
    <s v="Premium"/>
    <n v="15"/>
    <n v="146"/>
    <n v="10"/>
    <n v="1971"/>
    <s v="Chennai"/>
    <s v="Feb"/>
    <n v="750"/>
  </r>
  <r>
    <s v="O0078"/>
    <s v="2025-03-09"/>
    <s v="Pooja"/>
    <s v="P034"/>
    <s v="Signature Cocoa Bars"/>
    <s v="Cookies"/>
    <n v="15"/>
    <n v="154"/>
    <n v="0"/>
    <n v="2310"/>
    <s v="Hyderabad"/>
    <s v="Mar"/>
    <n v="870"/>
  </r>
  <r>
    <s v="O0079"/>
    <s v="2025-01-10"/>
    <s v="Kiran"/>
    <s v="P007"/>
    <s v="Choco Aura Custom Bar"/>
    <s v="Premium"/>
    <n v="1"/>
    <n v="128"/>
    <n v="5"/>
    <n v="121.6"/>
    <s v="Chennai"/>
    <s v="Jan"/>
    <n v="53"/>
  </r>
  <r>
    <s v="O0080"/>
    <s v="2025-04-23"/>
    <s v="Vikas"/>
    <s v="P011"/>
    <s v="Almond Crunch Bar"/>
    <s v="Bars"/>
    <n v="15"/>
    <n v="90"/>
    <n v="15"/>
    <n v="1147.5"/>
    <s v="Chennai"/>
    <s v="Apr"/>
    <n v="465"/>
  </r>
  <r>
    <s v="O0081"/>
    <s v="2025-06-18"/>
    <s v="Meera"/>
    <s v="P032"/>
    <s v="Choco Fudge Squares"/>
    <s v="Premium"/>
    <n v="9"/>
    <n v="130"/>
    <n v="5"/>
    <n v="1111.5"/>
    <s v="Mumbai"/>
    <s v="Jun"/>
    <n v="405"/>
  </r>
  <r>
    <s v="O0082"/>
    <s v="2025-01-30"/>
    <s v="Anjali"/>
    <s v="P013"/>
    <s v="Pistachio Fusion Chocolate"/>
    <s v="Cookies"/>
    <n v="4"/>
    <n v="143"/>
    <n v="5"/>
    <n v="543.4"/>
    <s v="Chennai"/>
    <s v="Jan"/>
    <n v="168"/>
  </r>
  <r>
    <s v="O0083"/>
    <s v="2025-06-29"/>
    <s v="Amit"/>
    <s v="P028"/>
    <s v="Butterscotch Crunch Bar"/>
    <s v="Bars"/>
    <n v="13"/>
    <n v="109"/>
    <n v="10"/>
    <n v="1275.3"/>
    <s v="Delhi"/>
    <s v="Jun"/>
    <n v="715"/>
  </r>
  <r>
    <s v="O0084"/>
    <s v="2025-05-29"/>
    <s v="Rahul"/>
    <s v="P035"/>
    <s v="Velvet Truffle Bites"/>
    <s v="Cookies"/>
    <n v="10"/>
    <n v="199"/>
    <n v="10"/>
    <n v="1791"/>
    <s v="Bangalore"/>
    <s v="May"/>
    <n v="930"/>
  </r>
  <r>
    <s v="O0085"/>
    <s v="2025-04-01"/>
    <s v="Rohan"/>
    <s v="P027"/>
    <s v="Premium Cocoa Slabs"/>
    <s v="Bars"/>
    <n v="11"/>
    <n v="135"/>
    <n v="10"/>
    <n v="1336.5"/>
    <s v="Hyderabad"/>
    <s v="Apr"/>
    <n v="473"/>
  </r>
  <r>
    <s v="O0086"/>
    <s v="2025-03-08"/>
    <s v="Neha"/>
    <s v="P004"/>
    <s v="Duo Choco Bites"/>
    <s v="Bars"/>
    <n v="15"/>
    <n v="99"/>
    <n v="5"/>
    <n v="1410.75"/>
    <s v="Hyderabad"/>
    <s v="Mar"/>
    <n v="360"/>
  </r>
  <r>
    <s v="O0087"/>
    <s v="2025-03-30"/>
    <s v="Priya"/>
    <s v="P004"/>
    <s v="Duo Choco Bites"/>
    <s v="Bars"/>
    <n v="2"/>
    <n v="99"/>
    <n v="15"/>
    <n v="168.3"/>
    <s v="Chennai"/>
    <s v="Mar"/>
    <n v="48"/>
  </r>
  <r>
    <s v="O0088"/>
    <s v="2025-01-13"/>
    <s v="Amit"/>
    <s v="P035"/>
    <s v="Velvet Truffle Bites"/>
    <s v="Cookies"/>
    <n v="3"/>
    <n v="199"/>
    <n v="5"/>
    <n v="567.15"/>
    <s v="Mumbai"/>
    <s v="Jan"/>
    <n v="279"/>
  </r>
  <r>
    <s v="O0089"/>
    <s v="2025-03-21"/>
    <s v="Meera"/>
    <s v="P040"/>
    <s v="Festive Chocolate Pack"/>
    <s v="Festive"/>
    <n v="12"/>
    <n v="145"/>
    <n v="5"/>
    <n v="1653"/>
    <s v="Bangalore"/>
    <s v="Mar"/>
    <n v="984"/>
  </r>
  <r>
    <s v="O0090"/>
    <s v="2025-01-28"/>
    <s v="Vikas"/>
    <s v="P006"/>
    <s v="Love Loaded Chocolate Bar"/>
    <s v="Festive"/>
    <n v="9"/>
    <n v="140"/>
    <n v="0"/>
    <n v="1260"/>
    <s v="Pune"/>
    <s v="Jan"/>
    <n v="882"/>
  </r>
  <r>
    <s v="O0091"/>
    <s v="2025-04-26"/>
    <s v="Priya"/>
    <s v="P005"/>
    <s v="Choco Dip Cookie"/>
    <s v="Premium"/>
    <n v="2"/>
    <n v="98"/>
    <n v="5"/>
    <n v="186.2"/>
    <s v="Chennai"/>
    <s v="Apr"/>
    <n v="116"/>
  </r>
  <r>
    <s v="O0092"/>
    <s v="2025-04-09"/>
    <s v="Sneha"/>
    <s v="P021"/>
    <s v="Orange Zest Chocolate"/>
    <s v="Premium"/>
    <n v="14"/>
    <n v="65"/>
    <n v="5"/>
    <n v="864.5"/>
    <s v="Pune"/>
    <s v="Apr"/>
    <n v="308"/>
  </r>
  <r>
    <s v="O0093"/>
    <s v="2025-05-05"/>
    <s v="Arjun"/>
    <s v="P016"/>
    <s v="Nutella Filled Bites"/>
    <s v="Cookies"/>
    <n v="15"/>
    <n v="89"/>
    <n v="5"/>
    <n v="1268.25"/>
    <s v="Pune"/>
    <s v="May"/>
    <n v="975"/>
  </r>
  <r>
    <s v="O0094"/>
    <s v="2025-06-25"/>
    <s v="Neha"/>
    <s v="P012"/>
    <s v="Cashew Delight Bites"/>
    <s v="Cookies"/>
    <n v="11"/>
    <n v="98"/>
    <n v="15"/>
    <n v="916.3"/>
    <s v="Hyderabad"/>
    <s v="Jun"/>
    <n v="242"/>
  </r>
  <r>
    <s v="O0095"/>
    <s v="2025-01-12"/>
    <s v="Rohan"/>
    <s v="P029"/>
    <s v="Choco Lava Bites"/>
    <s v="Snacks"/>
    <n v="1"/>
    <n v="100"/>
    <n v="15"/>
    <n v="85"/>
    <s v="Mumbai"/>
    <s v="Jan"/>
    <n v="22"/>
  </r>
  <r>
    <s v="O0096"/>
    <s v="2025-01-03"/>
    <s v="Kiran"/>
    <s v="P013"/>
    <s v="Pistachio Fusion Chocolate"/>
    <s v="Cookies"/>
    <n v="5"/>
    <n v="143"/>
    <n v="0"/>
    <n v="715"/>
    <s v="Mumbai"/>
    <s v="Jan"/>
    <n v="210"/>
  </r>
  <r>
    <s v="O0097"/>
    <s v="2025-03-17"/>
    <s v="Kiran"/>
    <s v="P021"/>
    <s v="Orange Zest Chocolate"/>
    <s v="Premium"/>
    <n v="4"/>
    <n v="65"/>
    <n v="10"/>
    <n v="234"/>
    <s v="Delhi"/>
    <s v="Mar"/>
    <n v="88"/>
  </r>
  <r>
    <s v="O0098"/>
    <s v="2025-04-13"/>
    <s v="Arjun"/>
    <s v="P014"/>
    <s v="Dark Fantasy Squares"/>
    <s v="Snacks"/>
    <n v="15"/>
    <n v="96"/>
    <n v="5"/>
    <n v="1368"/>
    <s v="Bangalore"/>
    <s v="Apr"/>
    <n v="1140"/>
  </r>
  <r>
    <s v="O0099"/>
    <s v="2025-03-23"/>
    <s v="Anjali"/>
    <s v="P033"/>
    <s v="Milk Chocolate Coins"/>
    <s v="Cookies"/>
    <n v="8"/>
    <n v="52"/>
    <n v="5"/>
    <n v="395.2"/>
    <s v="Bangalore"/>
    <s v="Mar"/>
    <n v="312"/>
  </r>
  <r>
    <s v="O0100"/>
    <s v="2025-03-31"/>
    <s v="Rahul"/>
    <s v="P022"/>
    <s v="Mint Choco Squares"/>
    <s v="Festive"/>
    <n v="9"/>
    <n v="147"/>
    <n v="15"/>
    <n v="1124.55"/>
    <s v="Pune"/>
    <s v="Mar"/>
    <n v="774"/>
  </r>
  <r>
    <s v="O0101"/>
    <s v="2025-04-28"/>
    <s v="Vikas"/>
    <s v="P014"/>
    <s v="Dark Fantasy Squares"/>
    <s v="Snacks"/>
    <n v="6"/>
    <n v="96"/>
    <n v="15"/>
    <n v="489.6"/>
    <s v="Hyderabad"/>
    <s v="Apr"/>
    <n v="456"/>
  </r>
  <r>
    <s v="O0102"/>
    <s v="2025-02-21"/>
    <s v="Anjali"/>
    <s v="P036"/>
    <s v="Classic Dark Chocolate"/>
    <s v="Cookies"/>
    <n v="7"/>
    <n v="139"/>
    <n v="15"/>
    <n v="827.05"/>
    <s v="Pune"/>
    <s v="Feb"/>
    <n v="490"/>
  </r>
  <r>
    <s v="O0103"/>
    <s v="2025-05-17"/>
    <s v="Neha"/>
    <s v="P025"/>
    <s v="Berry Blast Chocolate"/>
    <s v="Festive"/>
    <n v="1"/>
    <n v="168"/>
    <n v="5"/>
    <n v="159.6"/>
    <s v="Pune"/>
    <s v="May"/>
    <n v="55"/>
  </r>
  <r>
    <s v="O0104"/>
    <s v="2025-01-19"/>
    <s v="Meera"/>
    <s v="P018"/>
    <s v="Fruit &amp; Nut Chocolate"/>
    <s v="Snacks"/>
    <n v="12"/>
    <n v="156"/>
    <n v="0"/>
    <n v="1872"/>
    <s v="Mumbai"/>
    <s v="Jan"/>
    <n v="756"/>
  </r>
  <r>
    <s v="O0105"/>
    <s v="2025-01-28"/>
    <s v="Priya"/>
    <s v="P032"/>
    <s v="Choco Fudge Squares"/>
    <s v="Premium"/>
    <n v="15"/>
    <n v="130"/>
    <n v="0"/>
    <n v="1950"/>
    <s v="Hyderabad"/>
    <s v="Jan"/>
    <n v="675"/>
  </r>
  <r>
    <s v="O0106"/>
    <s v="2025-02-08"/>
    <s v="Anjali"/>
    <s v="P015"/>
    <s v="Caramel Crunch Cubes"/>
    <s v="Festive"/>
    <n v="4"/>
    <n v="158"/>
    <n v="0"/>
    <n v="632"/>
    <s v="Bangalore"/>
    <s v="Feb"/>
    <n v="380"/>
  </r>
  <r>
    <s v="O0107"/>
    <s v="2025-03-19"/>
    <s v="Pooja"/>
    <s v="P009"/>
    <s v="Rose Pista Chocolate"/>
    <s v="Festive"/>
    <n v="12"/>
    <n v="96"/>
    <n v="5"/>
    <n v="1094.4000000000001"/>
    <s v="Bangalore"/>
    <s v="Mar"/>
    <n v="288"/>
  </r>
  <r>
    <s v="O0108"/>
    <s v="2025-03-08"/>
    <s v="Priya"/>
    <s v="P013"/>
    <s v="Pistachio Fusion Chocolate"/>
    <s v="Cookies"/>
    <n v="5"/>
    <n v="143"/>
    <n v="5"/>
    <n v="679.25"/>
    <s v="Bangalore"/>
    <s v="Mar"/>
    <n v="210"/>
  </r>
  <r>
    <s v="O0109"/>
    <s v="2025-06-25"/>
    <s v="Kiran"/>
    <s v="P007"/>
    <s v="Choco Aura Custom Bar"/>
    <s v="Premium"/>
    <n v="5"/>
    <n v="128"/>
    <n v="10"/>
    <n v="576"/>
    <s v="Chennai"/>
    <s v="Jun"/>
    <n v="265"/>
  </r>
  <r>
    <s v="O0110"/>
    <s v="2025-02-09"/>
    <s v="Pooja"/>
    <s v="P006"/>
    <s v="Love Loaded Chocolate Bar"/>
    <s v="Festive"/>
    <n v="2"/>
    <n v="140"/>
    <n v="0"/>
    <n v="280"/>
    <s v="Hyderabad"/>
    <s v="Feb"/>
    <n v="196"/>
  </r>
  <r>
    <s v="O0111"/>
    <s v="2025-03-07"/>
    <s v="Kiran"/>
    <s v="P019"/>
    <s v="White Chocolate Truffle"/>
    <s v="Bars"/>
    <n v="2"/>
    <n v="95"/>
    <n v="0"/>
    <n v="190"/>
    <s v="Hyderabad"/>
    <s v="Mar"/>
    <n v="148"/>
  </r>
  <r>
    <s v="O0112"/>
    <s v="2025-01-06"/>
    <s v="Rahul"/>
    <s v="P012"/>
    <s v="Cashew Delight Bites"/>
    <s v="Cookies"/>
    <n v="14"/>
    <n v="98"/>
    <n v="0"/>
    <n v="1372"/>
    <s v="Delhi"/>
    <s v="Jan"/>
    <n v="308"/>
  </r>
  <r>
    <s v="O0113"/>
    <s v="2025-05-17"/>
    <s v="Vikas"/>
    <s v="P018"/>
    <s v="Fruit &amp; Nut Chocolate"/>
    <s v="Snacks"/>
    <n v="11"/>
    <n v="156"/>
    <n v="0"/>
    <n v="1716"/>
    <s v="Mumbai"/>
    <s v="May"/>
    <n v="693"/>
  </r>
  <r>
    <s v="O0114"/>
    <s v="2025-02-02"/>
    <s v="Kiran"/>
    <s v="P040"/>
    <s v="Festive Chocolate Pack"/>
    <s v="Festive"/>
    <n v="15"/>
    <n v="145"/>
    <n v="0"/>
    <n v="2175"/>
    <s v="Delhi"/>
    <s v="Feb"/>
    <n v="1230"/>
  </r>
  <r>
    <s v="O0115"/>
    <s v="2025-04-07"/>
    <s v="Sneha"/>
    <s v="P027"/>
    <s v="Premium Cocoa Slabs"/>
    <s v="Bars"/>
    <n v="6"/>
    <n v="135"/>
    <n v="5"/>
    <n v="769.5"/>
    <s v="Hyderabad"/>
    <s v="Apr"/>
    <n v="258"/>
  </r>
  <r>
    <s v="O0116"/>
    <s v="2025-06-28"/>
    <s v="Anjali"/>
    <s v="P030"/>
    <s v="Royal Dryfruit Mix"/>
    <s v="Cookies"/>
    <n v="11"/>
    <n v="135"/>
    <n v="15"/>
    <n v="1262.25"/>
    <s v="Mumbai"/>
    <s v="Jun"/>
    <n v="880"/>
  </r>
  <r>
    <s v="O0117"/>
    <s v="2025-06-16"/>
    <s v="Meera"/>
    <s v="P023"/>
    <s v="Coconut Delight Bar"/>
    <s v="Snacks"/>
    <n v="7"/>
    <n v="37"/>
    <n v="15"/>
    <n v="220.15"/>
    <s v="Mumbai"/>
    <s v="Jun"/>
    <n v="182"/>
  </r>
  <r>
    <s v="O0118"/>
    <s v="2025-06-17"/>
    <s v="Neha"/>
    <s v="P015"/>
    <s v="Caramel Crunch Cubes"/>
    <s v="Festive"/>
    <n v="1"/>
    <n v="158"/>
    <n v="15"/>
    <n v="134.30000000000001"/>
    <s v="Hyderabad"/>
    <s v="Jun"/>
    <n v="95"/>
  </r>
  <r>
    <s v="O0119"/>
    <s v="2025-01-04"/>
    <s v="Sneha"/>
    <s v="P029"/>
    <s v="Choco Lava Bites"/>
    <s v="Snacks"/>
    <n v="5"/>
    <n v="100"/>
    <n v="5"/>
    <n v="475"/>
    <s v="Mumbai"/>
    <s v="Jan"/>
    <n v="110"/>
  </r>
  <r>
    <s v="O0120"/>
    <s v="2025-05-31"/>
    <s v="Rohan"/>
    <s v="P030"/>
    <s v="Royal Dryfruit Mix"/>
    <s v="Cookies"/>
    <n v="13"/>
    <n v="135"/>
    <n v="5"/>
    <n v="1667.25"/>
    <s v="Chennai"/>
    <s v="May"/>
    <n v="1040"/>
  </r>
  <r>
    <s v="O0121"/>
    <s v="2025-06-22"/>
    <s v="Meera"/>
    <s v="P025"/>
    <s v="Berry Blast Chocolate"/>
    <s v="Festive"/>
    <n v="9"/>
    <n v="168"/>
    <n v="10"/>
    <n v="1360.8"/>
    <s v="Bangalore"/>
    <s v="Jun"/>
    <n v="495"/>
  </r>
  <r>
    <s v="O0122"/>
    <s v="2025-04-18"/>
    <s v="Neha"/>
    <s v="P034"/>
    <s v="Signature Cocoa Bars"/>
    <s v="Cookies"/>
    <n v="4"/>
    <n v="154"/>
    <n v="0"/>
    <n v="616"/>
    <s v="Delhi"/>
    <s v="Apr"/>
    <n v="232"/>
  </r>
  <r>
    <s v="O0123"/>
    <s v="2025-04-10"/>
    <s v="Pooja"/>
    <s v="P023"/>
    <s v="Coconut Delight Bar"/>
    <s v="Snacks"/>
    <n v="12"/>
    <n v="37"/>
    <n v="10"/>
    <n v="399.6"/>
    <s v="Pune"/>
    <s v="Apr"/>
    <n v="312"/>
  </r>
  <r>
    <s v="O0124"/>
    <s v="2025-04-21"/>
    <s v="Amit"/>
    <s v="P009"/>
    <s v="Rose Pista Chocolate"/>
    <s v="Festive"/>
    <n v="3"/>
    <n v="96"/>
    <n v="0"/>
    <n v="288"/>
    <s v="Bangalore"/>
    <s v="Apr"/>
    <n v="72"/>
  </r>
  <r>
    <s v="O0125"/>
    <s v="2025-03-02"/>
    <s v="Neha"/>
    <s v="P040"/>
    <s v="Festive Chocolate Pack"/>
    <s v="Festive"/>
    <n v="12"/>
    <n v="145"/>
    <n v="0"/>
    <n v="1740"/>
    <s v="Chennai"/>
    <s v="Mar"/>
    <n v="984"/>
  </r>
  <r>
    <s v="O0126"/>
    <s v="2025-06-15"/>
    <s v="Vikas"/>
    <s v="P035"/>
    <s v="Velvet Truffle Bites"/>
    <s v="Cookies"/>
    <n v="3"/>
    <n v="199"/>
    <n v="5"/>
    <n v="567.15"/>
    <s v="Hyderabad"/>
    <s v="Jun"/>
    <n v="279"/>
  </r>
  <r>
    <s v="O0127"/>
    <s v="2025-02-04"/>
    <s v="Anjali"/>
    <s v="P039"/>
    <s v="Luxury Praline Box"/>
    <s v="Festive"/>
    <n v="8"/>
    <n v="181"/>
    <n v="15"/>
    <n v="1230.8"/>
    <s v="Delhi"/>
    <s v="Feb"/>
    <n v="504"/>
  </r>
  <r>
    <s v="O0128"/>
    <s v="2025-03-21"/>
    <s v="Rahul"/>
    <s v="P010"/>
    <s v="Dry Fruit Special Chocolate"/>
    <s v="Bars"/>
    <n v="9"/>
    <n v="160"/>
    <n v="15"/>
    <n v="1224"/>
    <s v="Delhi"/>
    <s v="Mar"/>
    <n v="594"/>
  </r>
  <r>
    <s v="O0129"/>
    <s v="2025-01-18"/>
    <s v="Arjun"/>
    <s v="P026"/>
    <s v="Silk Ganache Cubes"/>
    <s v="Festive"/>
    <n v="12"/>
    <n v="82"/>
    <n v="10"/>
    <n v="885.6"/>
    <s v="Chennai"/>
    <s v="Jan"/>
    <n v="480"/>
  </r>
  <r>
    <s v="O0130"/>
    <s v="2025-04-01"/>
    <s v="Priya"/>
    <s v="P030"/>
    <s v="Royal Dryfruit Mix"/>
    <s v="Cookies"/>
    <n v="12"/>
    <n v="135"/>
    <n v="0"/>
    <n v="1620"/>
    <s v="Chennai"/>
    <s v="Apr"/>
    <n v="960"/>
  </r>
  <r>
    <s v="O0131"/>
    <s v="2025-02-05"/>
    <s v="Vikas"/>
    <s v="P002"/>
    <s v="Kunafa Bites"/>
    <s v="Premium"/>
    <n v="8"/>
    <n v="146"/>
    <n v="10"/>
    <n v="1051.2"/>
    <s v="Pune"/>
    <s v="Feb"/>
    <n v="400"/>
  </r>
  <r>
    <s v="O0132"/>
    <s v="2025-06-11"/>
    <s v="Anjali"/>
    <s v="P029"/>
    <s v="Choco Lava Bites"/>
    <s v="Snacks"/>
    <n v="10"/>
    <n v="100"/>
    <n v="0"/>
    <n v="1000"/>
    <s v="Bangalore"/>
    <s v="Jun"/>
    <n v="220"/>
  </r>
  <r>
    <s v="O0133"/>
    <s v="2025-05-24"/>
    <s v="Pooja"/>
    <s v="P032"/>
    <s v="Choco Fudge Squares"/>
    <s v="Premium"/>
    <n v="14"/>
    <n v="130"/>
    <n v="15"/>
    <n v="1547"/>
    <s v="Mumbai"/>
    <s v="May"/>
    <n v="630"/>
  </r>
  <r>
    <s v="O0134"/>
    <s v="2025-01-11"/>
    <s v="Sneha"/>
    <s v="P027"/>
    <s v="Premium Cocoa Slabs"/>
    <s v="Bars"/>
    <n v="7"/>
    <n v="135"/>
    <n v="0"/>
    <n v="945"/>
    <s v="Bangalore"/>
    <s v="Jan"/>
    <n v="301"/>
  </r>
  <r>
    <s v="O0135"/>
    <s v="2025-06-12"/>
    <s v="Amit"/>
    <s v="P031"/>
    <s v="Honey Almond Chocolate"/>
    <s v="Cookies"/>
    <n v="1"/>
    <n v="119"/>
    <n v="10"/>
    <n v="107.1"/>
    <s v="Bangalore"/>
    <s v="Jun"/>
    <n v="47"/>
  </r>
  <r>
    <s v="O0136"/>
    <s v="2025-04-18"/>
    <s v="Rohan"/>
    <s v="P037"/>
    <s v="Golden Caramel Bites"/>
    <s v="Snacks"/>
    <n v="3"/>
    <n v="160"/>
    <n v="0"/>
    <n v="480"/>
    <s v="Pune"/>
    <s v="Apr"/>
    <n v="165"/>
  </r>
  <r>
    <s v="O0137"/>
    <s v="2025-01-31"/>
    <s v="Priya"/>
    <s v="P023"/>
    <s v="Coconut Delight Bar"/>
    <s v="Snacks"/>
    <n v="6"/>
    <n v="37"/>
    <n v="10"/>
    <n v="199.8"/>
    <s v="Pune"/>
    <s v="Jan"/>
    <n v="156"/>
  </r>
  <r>
    <s v="O0138"/>
    <s v="2025-01-30"/>
    <s v="Arjun"/>
    <s v="P021"/>
    <s v="Orange Zest Chocolate"/>
    <s v="Premium"/>
    <n v="10"/>
    <n v="65"/>
    <n v="5"/>
    <n v="617.5"/>
    <s v="Hyderabad"/>
    <s v="Jan"/>
    <n v="220"/>
  </r>
  <r>
    <s v="O0139"/>
    <s v="2025-06-29"/>
    <s v="Rohan"/>
    <s v="P008"/>
    <s v="Hazelnut Praline Chocolate"/>
    <s v="Premium"/>
    <n v="10"/>
    <n v="76"/>
    <n v="5"/>
    <n v="722"/>
    <s v="Delhi"/>
    <s v="Jun"/>
    <n v="300"/>
  </r>
  <r>
    <s v="O0140"/>
    <s v="2025-06-21"/>
    <s v="Sneha"/>
    <s v="P009"/>
    <s v="Rose Pista Chocolate"/>
    <s v="Festive"/>
    <n v="14"/>
    <n v="96"/>
    <n v="15"/>
    <n v="1142.4000000000001"/>
    <s v="Hyderabad"/>
    <s v="Jun"/>
    <n v="336"/>
  </r>
  <r>
    <s v="O0141"/>
    <s v="2025-02-04"/>
    <s v="Sneha"/>
    <s v="P021"/>
    <s v="Orange Zest Chocolate"/>
    <s v="Premium"/>
    <n v="8"/>
    <n v="65"/>
    <n v="10"/>
    <n v="468"/>
    <s v="Delhi"/>
    <s v="Feb"/>
    <n v="176"/>
  </r>
  <r>
    <s v="O0142"/>
    <s v="2025-02-07"/>
    <s v="Priya"/>
    <s v="P015"/>
    <s v="Caramel Crunch Cubes"/>
    <s v="Festive"/>
    <n v="8"/>
    <n v="158"/>
    <n v="15"/>
    <n v="1074.4000000000001"/>
    <s v="Delhi"/>
    <s v="Feb"/>
    <n v="760"/>
  </r>
  <r>
    <s v="O0143"/>
    <s v="2025-03-12"/>
    <s v="Amit"/>
    <s v="P019"/>
    <s v="White Chocolate Truffle"/>
    <s v="Bars"/>
    <n v="14"/>
    <n v="95"/>
    <n v="0"/>
    <n v="1330"/>
    <s v="Pune"/>
    <s v="Mar"/>
    <n v="1036"/>
  </r>
  <r>
    <s v="O0144"/>
    <s v="2025-01-25"/>
    <s v="Priya"/>
    <s v="P039"/>
    <s v="Luxury Praline Box"/>
    <s v="Festive"/>
    <n v="8"/>
    <n v="181"/>
    <n v="10"/>
    <n v="1303.2"/>
    <s v="Mumbai"/>
    <s v="Jan"/>
    <n v="504"/>
  </r>
  <r>
    <s v="O0145"/>
    <s v="2025-05-30"/>
    <s v="Amit"/>
    <s v="P030"/>
    <s v="Royal Dryfruit Mix"/>
    <s v="Cookies"/>
    <n v="2"/>
    <n v="135"/>
    <n v="5"/>
    <n v="256.5"/>
    <s v="Hyderabad"/>
    <s v="May"/>
    <n v="160"/>
  </r>
  <r>
    <s v="O0146"/>
    <s v="2025-04-30"/>
    <s v="Pooja"/>
    <s v="P037"/>
    <s v="Golden Caramel Bites"/>
    <s v="Snacks"/>
    <n v="2"/>
    <n v="160"/>
    <n v="10"/>
    <n v="288"/>
    <s v="Hyderabad"/>
    <s v="Apr"/>
    <n v="110"/>
  </r>
  <r>
    <s v="O0147"/>
    <s v="2025-02-22"/>
    <s v="Neha"/>
    <s v="P012"/>
    <s v="Cashew Delight Bites"/>
    <s v="Cookies"/>
    <n v="2"/>
    <n v="98"/>
    <n v="10"/>
    <n v="176.4"/>
    <s v="Bangalore"/>
    <s v="Feb"/>
    <n v="44"/>
  </r>
  <r>
    <s v="O0148"/>
    <s v="2025-04-01"/>
    <s v="Arjun"/>
    <s v="P038"/>
    <s v="Choco Biscuit Pops"/>
    <s v="Premium"/>
    <n v="4"/>
    <n v="113"/>
    <n v="0"/>
    <n v="452"/>
    <s v="Delhi"/>
    <s v="Apr"/>
    <n v="200"/>
  </r>
  <r>
    <s v="O0149"/>
    <s v="2025-04-12"/>
    <s v="Vikas"/>
    <s v="P028"/>
    <s v="Butterscotch Crunch Bar"/>
    <s v="Bars"/>
    <n v="5"/>
    <n v="109"/>
    <n v="0"/>
    <n v="545"/>
    <s v="Hyderabad"/>
    <s v="Apr"/>
    <n v="275"/>
  </r>
  <r>
    <s v="O0150"/>
    <s v="2025-03-08"/>
    <s v="Anjali"/>
    <s v="P008"/>
    <s v="Hazelnut Praline Chocolate"/>
    <s v="Premium"/>
    <n v="10"/>
    <n v="76"/>
    <n v="15"/>
    <n v="646"/>
    <s v="Mumbai"/>
    <s v="Mar"/>
    <n v="300"/>
  </r>
  <r>
    <s v="O0151"/>
    <s v="2025-03-16"/>
    <s v="Anjali"/>
    <s v="P035"/>
    <s v="Velvet Truffle Bites"/>
    <s v="Cookies"/>
    <n v="9"/>
    <n v="199"/>
    <n v="15"/>
    <n v="1522.35"/>
    <s v="Pune"/>
    <s v="Mar"/>
    <n v="837"/>
  </r>
  <r>
    <s v="O0152"/>
    <s v="2025-05-17"/>
    <s v="Rohan"/>
    <s v="P028"/>
    <s v="Butterscotch Crunch Bar"/>
    <s v="Bars"/>
    <n v="3"/>
    <n v="109"/>
    <n v="5"/>
    <n v="310.64999999999998"/>
    <s v="Delhi"/>
    <s v="May"/>
    <n v="165"/>
  </r>
  <r>
    <s v="O0153"/>
    <s v="2025-03-27"/>
    <s v="Rahul"/>
    <s v="P010"/>
    <s v="Dry Fruit Special Chocolate"/>
    <s v="Bars"/>
    <n v="14"/>
    <n v="160"/>
    <n v="15"/>
    <n v="1904"/>
    <s v="Hyderabad"/>
    <s v="Mar"/>
    <n v="924"/>
  </r>
  <r>
    <s v="O0154"/>
    <s v="2025-02-04"/>
    <s v="Kiran"/>
    <s v="P028"/>
    <s v="Butterscotch Crunch Bar"/>
    <s v="Bars"/>
    <n v="1"/>
    <n v="109"/>
    <n v="5"/>
    <n v="103.55"/>
    <s v="Delhi"/>
    <s v="Feb"/>
    <n v="55"/>
  </r>
  <r>
    <s v="O0155"/>
    <s v="2025-06-17"/>
    <s v="Vikas"/>
    <s v="P038"/>
    <s v="Choco Biscuit Pops"/>
    <s v="Premium"/>
    <n v="3"/>
    <n v="113"/>
    <n v="0"/>
    <n v="339"/>
    <s v="Bangalore"/>
    <s v="Jun"/>
    <n v="150"/>
  </r>
  <r>
    <s v="O0156"/>
    <s v="2025-04-29"/>
    <s v="Rohan"/>
    <s v="P014"/>
    <s v="Dark Fantasy Squares"/>
    <s v="Snacks"/>
    <n v="6"/>
    <n v="96"/>
    <n v="15"/>
    <n v="489.6"/>
    <s v="Hyderabad"/>
    <s v="Apr"/>
    <n v="456"/>
  </r>
  <r>
    <s v="O0157"/>
    <s v="2025-02-09"/>
    <s v="Amit"/>
    <s v="P016"/>
    <s v="Nutella Filled Bites"/>
    <s v="Cookies"/>
    <n v="12"/>
    <n v="89"/>
    <n v="15"/>
    <n v="907.8"/>
    <s v="Hyderabad"/>
    <s v="Feb"/>
    <n v="780"/>
  </r>
  <r>
    <s v="O0158"/>
    <s v="2025-02-26"/>
    <s v="Anjali"/>
    <s v="P026"/>
    <s v="Silk Ganache Cubes"/>
    <s v="Festive"/>
    <n v="15"/>
    <n v="82"/>
    <n v="5"/>
    <n v="1168.5"/>
    <s v="Delhi"/>
    <s v="Feb"/>
    <n v="600"/>
  </r>
  <r>
    <s v="O0159"/>
    <s v="2025-02-22"/>
    <s v="Pooja"/>
    <s v="P030"/>
    <s v="Royal Dryfruit Mix"/>
    <s v="Cookies"/>
    <n v="2"/>
    <n v="135"/>
    <n v="0"/>
    <n v="270"/>
    <s v="Mumbai"/>
    <s v="Feb"/>
    <n v="160"/>
  </r>
  <r>
    <s v="O0160"/>
    <s v="2025-01-13"/>
    <s v="Arjun"/>
    <s v="P018"/>
    <s v="Fruit &amp; Nut Chocolate"/>
    <s v="Snacks"/>
    <n v="11"/>
    <n v="156"/>
    <n v="5"/>
    <n v="1630.2"/>
    <s v="Bangalore"/>
    <s v="Jan"/>
    <n v="693"/>
  </r>
  <r>
    <s v="O0161"/>
    <s v="2025-01-22"/>
    <s v="Amit"/>
    <s v="P007"/>
    <s v="Choco Aura Custom Bar"/>
    <s v="Premium"/>
    <n v="11"/>
    <n v="128"/>
    <n v="10"/>
    <n v="1267.2"/>
    <s v="Chennai"/>
    <s v="Jan"/>
    <n v="583"/>
  </r>
  <r>
    <s v="O0162"/>
    <s v="2025-05-10"/>
    <s v="Kiran"/>
    <s v="P031"/>
    <s v="Honey Almond Chocolate"/>
    <s v="Cookies"/>
    <n v="12"/>
    <n v="119"/>
    <n v="10"/>
    <n v="1285.2"/>
    <s v="Delhi"/>
    <s v="May"/>
    <n v="564"/>
  </r>
  <r>
    <s v="O0163"/>
    <s v="2025-06-28"/>
    <s v="Rohan"/>
    <s v="P007"/>
    <s v="Choco Aura Custom Bar"/>
    <s v="Premium"/>
    <n v="10"/>
    <n v="128"/>
    <n v="5"/>
    <n v="1216"/>
    <s v="Bangalore"/>
    <s v="Jun"/>
    <n v="530"/>
  </r>
  <r>
    <s v="O0164"/>
    <s v="2025-02-11"/>
    <s v="Meera"/>
    <s v="P025"/>
    <s v="Berry Blast Chocolate"/>
    <s v="Festive"/>
    <n v="12"/>
    <n v="168"/>
    <n v="5"/>
    <n v="1915.2"/>
    <s v="Mumbai"/>
    <s v="Feb"/>
    <n v="660"/>
  </r>
  <r>
    <s v="O0165"/>
    <s v="2025-04-09"/>
    <s v="Arjun"/>
    <s v="P009"/>
    <s v="Rose Pista Chocolate"/>
    <s v="Festive"/>
    <n v="11"/>
    <n v="96"/>
    <n v="5"/>
    <n v="1003.2"/>
    <s v="Pune"/>
    <s v="Apr"/>
    <n v="264"/>
  </r>
  <r>
    <s v="O0166"/>
    <s v="2025-02-06"/>
    <s v="Pooja"/>
    <s v="P008"/>
    <s v="Hazelnut Praline Chocolate"/>
    <s v="Premium"/>
    <n v="15"/>
    <n v="76"/>
    <n v="5"/>
    <n v="1083"/>
    <s v="Delhi"/>
    <s v="Feb"/>
    <n v="450"/>
  </r>
  <r>
    <s v="O0167"/>
    <s v="2025-04-22"/>
    <s v="Kiran"/>
    <s v="P025"/>
    <s v="Berry Blast Chocolate"/>
    <s v="Festive"/>
    <n v="7"/>
    <n v="168"/>
    <n v="15"/>
    <n v="999.6"/>
    <s v="Pune"/>
    <s v="Apr"/>
    <n v="385"/>
  </r>
  <r>
    <s v="O0168"/>
    <s v="2025-03-07"/>
    <s v="Rohan"/>
    <s v="P034"/>
    <s v="Signature Cocoa Bars"/>
    <s v="Cookies"/>
    <n v="1"/>
    <n v="154"/>
    <n v="10"/>
    <n v="138.6"/>
    <s v="Chennai"/>
    <s v="Mar"/>
    <n v="58"/>
  </r>
  <r>
    <s v="O0169"/>
    <s v="2025-06-16"/>
    <s v="Arjun"/>
    <s v="P011"/>
    <s v="Almond Crunch Bar"/>
    <s v="Bars"/>
    <n v="9"/>
    <n v="90"/>
    <n v="0"/>
    <n v="810"/>
    <s v="Bangalore"/>
    <s v="Jun"/>
    <n v="279"/>
  </r>
  <r>
    <s v="O0170"/>
    <s v="2025-05-25"/>
    <s v="Rahul"/>
    <s v="P011"/>
    <s v="Almond Crunch Bar"/>
    <s v="Bars"/>
    <n v="2"/>
    <n v="90"/>
    <n v="5"/>
    <n v="171"/>
    <s v="Delhi"/>
    <s v="May"/>
    <n v="62"/>
  </r>
  <r>
    <s v="O0171"/>
    <s v="2025-03-27"/>
    <s v="Meera"/>
    <s v="P021"/>
    <s v="Orange Zest Chocolate"/>
    <s v="Premium"/>
    <n v="9"/>
    <n v="65"/>
    <n v="15"/>
    <n v="497.25"/>
    <s v="Pune"/>
    <s v="Mar"/>
    <n v="198"/>
  </r>
  <r>
    <s v="O0172"/>
    <s v="2025-05-17"/>
    <s v="Rahul"/>
    <s v="P016"/>
    <s v="Nutella Filled Bites"/>
    <s v="Cookies"/>
    <n v="14"/>
    <n v="89"/>
    <n v="10"/>
    <n v="1121.4000000000001"/>
    <s v="Hyderabad"/>
    <s v="May"/>
    <n v="910"/>
  </r>
  <r>
    <s v="O0173"/>
    <s v="2025-01-16"/>
    <s v="Amit"/>
    <s v="P025"/>
    <s v="Berry Blast Chocolate"/>
    <s v="Festive"/>
    <n v="7"/>
    <n v="168"/>
    <n v="10"/>
    <n v="1058.4000000000001"/>
    <s v="Chennai"/>
    <s v="Jan"/>
    <n v="385"/>
  </r>
  <r>
    <s v="O0174"/>
    <s v="2025-04-30"/>
    <s v="Neha"/>
    <s v="P015"/>
    <s v="Caramel Crunch Cubes"/>
    <s v="Festive"/>
    <n v="12"/>
    <n v="158"/>
    <n v="10"/>
    <n v="1706.4"/>
    <s v="Bangalore"/>
    <s v="Apr"/>
    <n v="1140"/>
  </r>
  <r>
    <s v="O0175"/>
    <s v="2025-06-19"/>
    <s v="Anjali"/>
    <s v="P003"/>
    <s v="Choco Crunch Cone"/>
    <s v="Bars"/>
    <n v="4"/>
    <n v="86"/>
    <n v="5"/>
    <n v="326.8"/>
    <s v="Mumbai"/>
    <s v="Jun"/>
    <n v="80"/>
  </r>
  <r>
    <s v="O0176"/>
    <s v="2025-02-15"/>
    <s v="Anjali"/>
    <s v="P030"/>
    <s v="Royal Dryfruit Mix"/>
    <s v="Cookies"/>
    <n v="13"/>
    <n v="135"/>
    <n v="10"/>
    <n v="1579.5"/>
    <s v="Chennai"/>
    <s v="Feb"/>
    <n v="1040"/>
  </r>
  <r>
    <s v="O0177"/>
    <s v="2025-03-30"/>
    <s v="Rohan"/>
    <s v="P026"/>
    <s v="Silk Ganache Cubes"/>
    <s v="Festive"/>
    <n v="11"/>
    <n v="82"/>
    <n v="0"/>
    <n v="902"/>
    <s v="Chennai"/>
    <s v="Mar"/>
    <n v="440"/>
  </r>
  <r>
    <s v="O0178"/>
    <s v="2025-04-02"/>
    <s v="Neha"/>
    <s v="P009"/>
    <s v="Rose Pista Chocolate"/>
    <s v="Festive"/>
    <n v="4"/>
    <n v="96"/>
    <n v="0"/>
    <n v="384"/>
    <s v="Hyderabad"/>
    <s v="Apr"/>
    <n v="96"/>
  </r>
  <r>
    <s v="O0179"/>
    <s v="2025-01-18"/>
    <s v="Arjun"/>
    <s v="P037"/>
    <s v="Golden Caramel Bites"/>
    <s v="Snacks"/>
    <n v="10"/>
    <n v="160"/>
    <n v="15"/>
    <n v="1360"/>
    <s v="Hyderabad"/>
    <s v="Jan"/>
    <n v="550"/>
  </r>
  <r>
    <s v="O0180"/>
    <s v="2025-04-07"/>
    <s v="Anjali"/>
    <s v="P003"/>
    <s v="Choco Crunch Cone"/>
    <s v="Bars"/>
    <n v="9"/>
    <n v="86"/>
    <n v="10"/>
    <n v="696.6"/>
    <s v="Bangalore"/>
    <s v="Apr"/>
    <n v="180"/>
  </r>
  <r>
    <s v="O0181"/>
    <s v="2025-05-16"/>
    <s v="Rahul"/>
    <s v="P040"/>
    <s v="Festive Chocolate Pack"/>
    <s v="Festive"/>
    <n v="1"/>
    <n v="145"/>
    <n v="0"/>
    <n v="145"/>
    <s v="Chennai"/>
    <s v="May"/>
    <n v="82"/>
  </r>
  <r>
    <s v="O0182"/>
    <s v="2025-03-04"/>
    <s v="Arjun"/>
    <s v="P027"/>
    <s v="Premium Cocoa Slabs"/>
    <s v="Bars"/>
    <n v="7"/>
    <n v="135"/>
    <n v="0"/>
    <n v="945"/>
    <s v="Bangalore"/>
    <s v="Mar"/>
    <n v="301"/>
  </r>
  <r>
    <s v="O0183"/>
    <s v="2025-01-28"/>
    <s v="Meera"/>
    <s v="P038"/>
    <s v="Choco Biscuit Pops"/>
    <s v="Premium"/>
    <n v="12"/>
    <n v="113"/>
    <n v="0"/>
    <n v="1356"/>
    <s v="Hyderabad"/>
    <s v="Jan"/>
    <n v="600"/>
  </r>
  <r>
    <s v="O0184"/>
    <s v="2025-05-14"/>
    <s v="Meera"/>
    <s v="P038"/>
    <s v="Choco Biscuit Pops"/>
    <s v="Premium"/>
    <n v="1"/>
    <n v="113"/>
    <n v="5"/>
    <n v="107.35"/>
    <s v="Chennai"/>
    <s v="May"/>
    <n v="50"/>
  </r>
  <r>
    <s v="O0185"/>
    <s v="2025-04-03"/>
    <s v="Amit"/>
    <s v="P033"/>
    <s v="Milk Chocolate Coins"/>
    <s v="Cookies"/>
    <n v="9"/>
    <n v="52"/>
    <n v="5"/>
    <n v="444.6"/>
    <s v="Delhi"/>
    <s v="Apr"/>
    <n v="351"/>
  </r>
  <r>
    <s v="O0186"/>
    <s v="2025-06-25"/>
    <s v="Arjun"/>
    <s v="P033"/>
    <s v="Milk Chocolate Coins"/>
    <s v="Cookies"/>
    <n v="15"/>
    <n v="52"/>
    <n v="10"/>
    <n v="702"/>
    <s v="Pune"/>
    <s v="Jun"/>
    <n v="585"/>
  </r>
  <r>
    <s v="O0187"/>
    <s v="2025-03-31"/>
    <s v="Anjali"/>
    <s v="P039"/>
    <s v="Luxury Praline Box"/>
    <s v="Festive"/>
    <n v="15"/>
    <n v="181"/>
    <n v="5"/>
    <n v="2579.25"/>
    <s v="Pune"/>
    <s v="Mar"/>
    <n v="945"/>
  </r>
  <r>
    <s v="O0188"/>
    <s v="2025-02-20"/>
    <s v="Priya"/>
    <s v="P038"/>
    <s v="Choco Biscuit Pops"/>
    <s v="Premium"/>
    <n v="12"/>
    <n v="113"/>
    <n v="0"/>
    <n v="1356"/>
    <s v="Hyderabad"/>
    <s v="Feb"/>
    <n v="600"/>
  </r>
  <r>
    <s v="O0189"/>
    <s v="2025-01-17"/>
    <s v="Meera"/>
    <s v="P030"/>
    <s v="Royal Dryfruit Mix"/>
    <s v="Cookies"/>
    <n v="11"/>
    <n v="135"/>
    <n v="15"/>
    <n v="1262.25"/>
    <s v="Bangalore"/>
    <s v="Jan"/>
    <n v="880"/>
  </r>
  <r>
    <s v="O0190"/>
    <s v="2025-05-11"/>
    <s v="Rahul"/>
    <s v="P036"/>
    <s v="Classic Dark Chocolate"/>
    <s v="Cookies"/>
    <n v="14"/>
    <n v="139"/>
    <n v="0"/>
    <n v="1946"/>
    <s v="Delhi"/>
    <s v="May"/>
    <n v="980"/>
  </r>
  <r>
    <s v="O0191"/>
    <s v="2025-02-14"/>
    <s v="Vikas"/>
    <s v="P025"/>
    <s v="Berry Blast Chocolate"/>
    <s v="Festive"/>
    <n v="13"/>
    <n v="168"/>
    <n v="10"/>
    <n v="1965.6"/>
    <s v="Mumbai"/>
    <s v="Feb"/>
    <n v="715"/>
  </r>
  <r>
    <s v="O0192"/>
    <s v="2025-01-25"/>
    <s v="Meera"/>
    <s v="P029"/>
    <s v="Choco Lava Bites"/>
    <s v="Snacks"/>
    <n v="12"/>
    <n v="100"/>
    <n v="0"/>
    <n v="1200"/>
    <s v="Delhi"/>
    <s v="Jan"/>
    <n v="264"/>
  </r>
  <r>
    <s v="O0193"/>
    <s v="2025-03-31"/>
    <s v="Anjali"/>
    <s v="P019"/>
    <s v="White Chocolate Truffle"/>
    <s v="Bars"/>
    <n v="3"/>
    <n v="95"/>
    <n v="15"/>
    <n v="242.25"/>
    <s v="Pune"/>
    <s v="Mar"/>
    <n v="222"/>
  </r>
  <r>
    <s v="O0194"/>
    <s v="2025-04-27"/>
    <s v="Arjun"/>
    <s v="P017"/>
    <s v="Kesar Milk Chocolate"/>
    <s v="Cookies"/>
    <n v="3"/>
    <n v="151"/>
    <n v="15"/>
    <n v="385.05"/>
    <s v="Hyderabad"/>
    <s v="Apr"/>
    <n v="159"/>
  </r>
  <r>
    <s v="O0195"/>
    <s v="2025-05-30"/>
    <s v="Anjali"/>
    <s v="P020"/>
    <s v="Coffee Mocha Bites"/>
    <s v="Snacks"/>
    <n v="7"/>
    <n v="61"/>
    <n v="15"/>
    <n v="362.95"/>
    <s v="Bangalore"/>
    <s v="May"/>
    <n v="357"/>
  </r>
  <r>
    <s v="O0196"/>
    <s v="2025-05-22"/>
    <s v="Kiran"/>
    <s v="P027"/>
    <s v="Premium Cocoa Slabs"/>
    <s v="Bars"/>
    <n v="13"/>
    <n v="135"/>
    <n v="5"/>
    <n v="1667.25"/>
    <s v="Hyderabad"/>
    <s v="May"/>
    <n v="559"/>
  </r>
  <r>
    <s v="O0197"/>
    <s v="2025-05-09"/>
    <s v="Sneha"/>
    <s v="P017"/>
    <s v="Kesar Milk Chocolate"/>
    <s v="Cookies"/>
    <n v="3"/>
    <n v="151"/>
    <n v="0"/>
    <n v="453"/>
    <s v="Bangalore"/>
    <s v="May"/>
    <n v="159"/>
  </r>
  <r>
    <s v="O0198"/>
    <s v="2025-06-20"/>
    <s v="Pooja"/>
    <s v="P007"/>
    <s v="Choco Aura Custom Bar"/>
    <s v="Premium"/>
    <n v="9"/>
    <n v="128"/>
    <n v="5"/>
    <n v="1094.4000000000001"/>
    <s v="Hyderabad"/>
    <s v="Jun"/>
    <n v="477"/>
  </r>
  <r>
    <s v="O0199"/>
    <s v="2025-02-21"/>
    <s v="Rahul"/>
    <s v="P003"/>
    <s v="Choco Crunch Cone"/>
    <s v="Bars"/>
    <n v="15"/>
    <n v="86"/>
    <n v="15"/>
    <n v="1096.5"/>
    <s v="Pune"/>
    <s v="Feb"/>
    <n v="300"/>
  </r>
  <r>
    <s v="O0200"/>
    <s v="2025-01-28"/>
    <s v="Sneha"/>
    <s v="P005"/>
    <s v="Choco Dip Cookie"/>
    <s v="Premium"/>
    <n v="4"/>
    <n v="98"/>
    <n v="10"/>
    <n v="352.8"/>
    <s v="Bangalore"/>
    <s v="Jan"/>
    <n v="232"/>
  </r>
  <r>
    <s v="O0201"/>
    <s v="2025-06-25"/>
    <s v="Amit"/>
    <s v="P032"/>
    <s v="Choco Fudge Squares"/>
    <s v="Premium"/>
    <n v="2"/>
    <n v="130"/>
    <n v="10"/>
    <n v="234"/>
    <s v="Chennai"/>
    <s v="Jun"/>
    <n v="90"/>
  </r>
  <r>
    <s v="O0202"/>
    <s v="2025-01-11"/>
    <s v="Anjali"/>
    <s v="P007"/>
    <s v="Choco Aura Custom Bar"/>
    <s v="Premium"/>
    <n v="9"/>
    <n v="128"/>
    <n v="0"/>
    <n v="1152"/>
    <s v="Mumbai"/>
    <s v="Jan"/>
    <n v="477"/>
  </r>
  <r>
    <s v="O0203"/>
    <s v="2025-01-17"/>
    <s v="Sneha"/>
    <s v="P030"/>
    <s v="Royal Dryfruit Mix"/>
    <s v="Cookies"/>
    <n v="12"/>
    <n v="135"/>
    <n v="15"/>
    <n v="1377"/>
    <s v="Delhi"/>
    <s v="Jan"/>
    <n v="960"/>
  </r>
  <r>
    <s v="O0204"/>
    <s v="2025-02-10"/>
    <s v="Arjun"/>
    <s v="P040"/>
    <s v="Festive Chocolate Pack"/>
    <s v="Festive"/>
    <n v="13"/>
    <n v="145"/>
    <n v="10"/>
    <n v="1696.5"/>
    <s v="Mumbai"/>
    <s v="Feb"/>
    <n v="1066"/>
  </r>
  <r>
    <s v="O0205"/>
    <s v="2025-01-30"/>
    <s v="Priya"/>
    <s v="P017"/>
    <s v="Kesar Milk Chocolate"/>
    <s v="Cookies"/>
    <n v="6"/>
    <n v="151"/>
    <n v="10"/>
    <n v="815.4"/>
    <s v="Pune"/>
    <s v="Jan"/>
    <n v="318"/>
  </r>
  <r>
    <s v="O0206"/>
    <s v="2025-01-19"/>
    <s v="Anjali"/>
    <s v="P001"/>
    <s v="Choco Pie Popstick"/>
    <s v="Snacks"/>
    <n v="8"/>
    <n v="74"/>
    <n v="10"/>
    <n v="532.79999999999995"/>
    <s v="Chennai"/>
    <s v="Jan"/>
    <n v="224"/>
  </r>
  <r>
    <s v="O0207"/>
    <s v="2025-01-29"/>
    <s v="Arjun"/>
    <s v="P039"/>
    <s v="Luxury Praline Box"/>
    <s v="Festive"/>
    <n v="6"/>
    <n v="181"/>
    <n v="15"/>
    <n v="923.1"/>
    <s v="Chennai"/>
    <s v="Jan"/>
    <n v="378"/>
  </r>
  <r>
    <s v="O0208"/>
    <s v="2025-05-21"/>
    <s v="Pooja"/>
    <s v="P019"/>
    <s v="White Chocolate Truffle"/>
    <s v="Bars"/>
    <n v="2"/>
    <n v="95"/>
    <n v="10"/>
    <n v="171"/>
    <s v="Delhi"/>
    <s v="May"/>
    <n v="148"/>
  </r>
  <r>
    <s v="O0209"/>
    <s v="2025-04-14"/>
    <s v="Arjun"/>
    <s v="P010"/>
    <s v="Dry Fruit Special Chocolate"/>
    <s v="Bars"/>
    <n v="3"/>
    <n v="160"/>
    <n v="5"/>
    <n v="456"/>
    <s v="Hyderabad"/>
    <s v="Apr"/>
    <n v="198"/>
  </r>
  <r>
    <s v="O0210"/>
    <s v="2025-02-26"/>
    <s v="Meera"/>
    <s v="P003"/>
    <s v="Choco Crunch Cone"/>
    <s v="Bars"/>
    <n v="6"/>
    <n v="86"/>
    <n v="5"/>
    <n v="490.2"/>
    <s v="Bangalore"/>
    <s v="Feb"/>
    <n v="120"/>
  </r>
  <r>
    <s v="O0211"/>
    <s v="2025-04-16"/>
    <s v="Pooja"/>
    <s v="P008"/>
    <s v="Hazelnut Praline Chocolate"/>
    <s v="Premium"/>
    <n v="14"/>
    <n v="76"/>
    <n v="15"/>
    <n v="904.4"/>
    <s v="Chennai"/>
    <s v="Apr"/>
    <n v="420"/>
  </r>
  <r>
    <s v="O0212"/>
    <s v="2025-04-29"/>
    <s v="Neha"/>
    <s v="P018"/>
    <s v="Fruit &amp; Nut Chocolate"/>
    <s v="Snacks"/>
    <n v="11"/>
    <n v="156"/>
    <n v="10"/>
    <n v="1544.4"/>
    <s v="Delhi"/>
    <s v="Apr"/>
    <n v="693"/>
  </r>
  <r>
    <s v="O0213"/>
    <s v="2025-04-08"/>
    <s v="Sneha"/>
    <s v="P013"/>
    <s v="Pistachio Fusion Chocolate"/>
    <s v="Cookies"/>
    <n v="5"/>
    <n v="143"/>
    <n v="5"/>
    <n v="679.25"/>
    <s v="Mumbai"/>
    <s v="Apr"/>
    <n v="210"/>
  </r>
  <r>
    <s v="O0214"/>
    <s v="2025-06-24"/>
    <s v="Pooja"/>
    <s v="P032"/>
    <s v="Choco Fudge Squares"/>
    <s v="Premium"/>
    <n v="8"/>
    <n v="130"/>
    <n v="0"/>
    <n v="1040"/>
    <s v="Bangalore"/>
    <s v="Jun"/>
    <n v="360"/>
  </r>
  <r>
    <s v="O0215"/>
    <s v="2025-02-28"/>
    <s v="Priya"/>
    <s v="P013"/>
    <s v="Pistachio Fusion Chocolate"/>
    <s v="Cookies"/>
    <n v="1"/>
    <n v="143"/>
    <n v="15"/>
    <n v="121.55"/>
    <s v="Hyderabad"/>
    <s v="Feb"/>
    <n v="42"/>
  </r>
  <r>
    <s v="O0216"/>
    <s v="2025-05-01"/>
    <s v="Priya"/>
    <s v="P027"/>
    <s v="Premium Cocoa Slabs"/>
    <s v="Bars"/>
    <n v="11"/>
    <n v="135"/>
    <n v="0"/>
    <n v="1485"/>
    <s v="Delhi"/>
    <s v="May"/>
    <n v="473"/>
  </r>
  <r>
    <s v="O0217"/>
    <s v="2025-01-17"/>
    <s v="Meera"/>
    <s v="P003"/>
    <s v="Choco Crunch Cone"/>
    <s v="Bars"/>
    <n v="7"/>
    <n v="86"/>
    <n v="15"/>
    <n v="511.7"/>
    <s v="Chennai"/>
    <s v="Jan"/>
    <n v="140"/>
  </r>
  <r>
    <s v="O0218"/>
    <s v="2025-05-24"/>
    <s v="Amit"/>
    <s v="P027"/>
    <s v="Premium Cocoa Slabs"/>
    <s v="Bars"/>
    <n v="10"/>
    <n v="135"/>
    <n v="10"/>
    <n v="1215"/>
    <s v="Pune"/>
    <s v="May"/>
    <n v="430"/>
  </r>
  <r>
    <s v="O0219"/>
    <s v="2025-02-22"/>
    <s v="Kiran"/>
    <s v="P018"/>
    <s v="Fruit &amp; Nut Chocolate"/>
    <s v="Snacks"/>
    <n v="12"/>
    <n v="156"/>
    <n v="0"/>
    <n v="1872"/>
    <s v="Hyderabad"/>
    <s v="Feb"/>
    <n v="756"/>
  </r>
  <r>
    <s v="O0220"/>
    <s v="2025-01-23"/>
    <s v="Anjali"/>
    <s v="P017"/>
    <s v="Kesar Milk Chocolate"/>
    <s v="Cookies"/>
    <n v="3"/>
    <n v="151"/>
    <n v="0"/>
    <n v="453"/>
    <s v="Pune"/>
    <s v="Jan"/>
    <n v="159"/>
  </r>
  <r>
    <s v="O0221"/>
    <s v="2025-04-29"/>
    <s v="Meera"/>
    <s v="P006"/>
    <s v="Love Loaded Chocolate Bar"/>
    <s v="Festive"/>
    <n v="8"/>
    <n v="140"/>
    <n v="0"/>
    <n v="1120"/>
    <s v="Bangalore"/>
    <s v="Apr"/>
    <n v="784"/>
  </r>
  <r>
    <s v="O0222"/>
    <s v="2025-06-25"/>
    <s v="Neha"/>
    <s v="P008"/>
    <s v="Hazelnut Praline Chocolate"/>
    <s v="Premium"/>
    <n v="15"/>
    <n v="76"/>
    <n v="0"/>
    <n v="1140"/>
    <s v="Delhi"/>
    <s v="Jun"/>
    <n v="450"/>
  </r>
  <r>
    <s v="O0223"/>
    <s v="2025-01-15"/>
    <s v="Priya"/>
    <s v="P010"/>
    <s v="Dry Fruit Special Chocolate"/>
    <s v="Bars"/>
    <n v="6"/>
    <n v="160"/>
    <n v="5"/>
    <n v="912"/>
    <s v="Delhi"/>
    <s v="Jan"/>
    <n v="396"/>
  </r>
  <r>
    <s v="O0224"/>
    <s v="2025-01-12"/>
    <s v="Vikas"/>
    <s v="P022"/>
    <s v="Mint Choco Squares"/>
    <s v="Festive"/>
    <n v="3"/>
    <n v="147"/>
    <n v="5"/>
    <n v="418.95"/>
    <s v="Pune"/>
    <s v="Jan"/>
    <n v="258"/>
  </r>
  <r>
    <s v="O0225"/>
    <s v="2025-04-24"/>
    <s v="Rohan"/>
    <s v="P016"/>
    <s v="Nutella Filled Bites"/>
    <s v="Cookies"/>
    <n v="10"/>
    <n v="89"/>
    <n v="15"/>
    <n v="756.5"/>
    <s v="Bangalore"/>
    <s v="Apr"/>
    <n v="650"/>
  </r>
  <r>
    <s v="O0226"/>
    <s v="2025-02-11"/>
    <s v="Meera"/>
    <s v="P020"/>
    <s v="Coffee Mocha Bites"/>
    <s v="Snacks"/>
    <n v="2"/>
    <n v="61"/>
    <n v="15"/>
    <n v="103.7"/>
    <s v="Mumbai"/>
    <s v="Feb"/>
    <n v="102"/>
  </r>
  <r>
    <s v="O0227"/>
    <s v="2025-05-17"/>
    <s v="Kiran"/>
    <s v="P023"/>
    <s v="Coconut Delight Bar"/>
    <s v="Snacks"/>
    <n v="1"/>
    <n v="37"/>
    <n v="15"/>
    <n v="31.45"/>
    <s v="Pune"/>
    <s v="May"/>
    <n v="26"/>
  </r>
  <r>
    <s v="O0228"/>
    <s v="2025-01-05"/>
    <s v="Anjali"/>
    <s v="P009"/>
    <s v="Rose Pista Chocolate"/>
    <s v="Festive"/>
    <n v="5"/>
    <n v="96"/>
    <n v="5"/>
    <n v="456"/>
    <s v="Chennai"/>
    <s v="Jan"/>
    <n v="120"/>
  </r>
  <r>
    <s v="O0229"/>
    <s v="2025-03-08"/>
    <s v="Arjun"/>
    <s v="P040"/>
    <s v="Festive Chocolate Pack"/>
    <s v="Festive"/>
    <n v="8"/>
    <n v="145"/>
    <n v="5"/>
    <n v="1102"/>
    <s v="Chennai"/>
    <s v="Mar"/>
    <n v="656"/>
  </r>
  <r>
    <s v="O0230"/>
    <s v="2025-03-08"/>
    <s v="Neha"/>
    <s v="P015"/>
    <s v="Caramel Crunch Cubes"/>
    <s v="Festive"/>
    <n v="1"/>
    <n v="158"/>
    <n v="15"/>
    <n v="134.30000000000001"/>
    <s v="Hyderabad"/>
    <s v="Mar"/>
    <n v="95"/>
  </r>
  <r>
    <s v="O0231"/>
    <s v="2025-06-17"/>
    <s v="Pooja"/>
    <s v="P011"/>
    <s v="Almond Crunch Bar"/>
    <s v="Bars"/>
    <n v="11"/>
    <n v="90"/>
    <n v="15"/>
    <n v="841.5"/>
    <s v="Chennai"/>
    <s v="Jun"/>
    <n v="341"/>
  </r>
  <r>
    <s v="O0232"/>
    <s v="2025-02-13"/>
    <s v="Sneha"/>
    <s v="P035"/>
    <s v="Velvet Truffle Bites"/>
    <s v="Cookies"/>
    <n v="14"/>
    <n v="199"/>
    <n v="0"/>
    <n v="2786"/>
    <s v="Chennai"/>
    <s v="Feb"/>
    <n v="1302"/>
  </r>
  <r>
    <s v="O0233"/>
    <s v="2025-03-30"/>
    <s v="Arjun"/>
    <s v="P024"/>
    <s v="Crunchy Wafer Chocolate"/>
    <s v="Bars"/>
    <n v="5"/>
    <n v="144"/>
    <n v="5"/>
    <n v="684"/>
    <s v="Chennai"/>
    <s v="Mar"/>
    <n v="280"/>
  </r>
  <r>
    <s v="O0234"/>
    <s v="2025-02-06"/>
    <s v="Arjun"/>
    <s v="P002"/>
    <s v="Kunafa Bites"/>
    <s v="Premium"/>
    <n v="6"/>
    <n v="146"/>
    <n v="15"/>
    <n v="744.6"/>
    <s v="Delhi"/>
    <s v="Feb"/>
    <n v="300"/>
  </r>
  <r>
    <s v="O0235"/>
    <s v="2025-05-13"/>
    <s v="Pooja"/>
    <s v="P020"/>
    <s v="Coffee Mocha Bites"/>
    <s v="Snacks"/>
    <n v="14"/>
    <n v="61"/>
    <n v="5"/>
    <n v="811.3"/>
    <s v="Pune"/>
    <s v="May"/>
    <n v="714"/>
  </r>
  <r>
    <s v="O0236"/>
    <s v="2025-05-24"/>
    <s v="Rohan"/>
    <s v="P022"/>
    <s v="Mint Choco Squares"/>
    <s v="Festive"/>
    <n v="1"/>
    <n v="147"/>
    <n v="0"/>
    <n v="147"/>
    <s v="Bangalore"/>
    <s v="May"/>
    <n v="86"/>
  </r>
  <r>
    <s v="O0237"/>
    <s v="2025-06-19"/>
    <s v="Anjali"/>
    <s v="P024"/>
    <s v="Crunchy Wafer Chocolate"/>
    <s v="Bars"/>
    <n v="1"/>
    <n v="144"/>
    <n v="5"/>
    <n v="136.80000000000001"/>
    <s v="Mumbai"/>
    <s v="Jun"/>
    <n v="56"/>
  </r>
  <r>
    <s v="O0238"/>
    <s v="2025-04-20"/>
    <s v="Neha"/>
    <s v="P010"/>
    <s v="Dry Fruit Special Chocolate"/>
    <s v="Bars"/>
    <n v="4"/>
    <n v="160"/>
    <n v="10"/>
    <n v="576"/>
    <s v="Chennai"/>
    <s v="Apr"/>
    <n v="264"/>
  </r>
  <r>
    <s v="O0239"/>
    <s v="2025-05-15"/>
    <s v="Meera"/>
    <s v="P013"/>
    <s v="Pistachio Fusion Chocolate"/>
    <s v="Cookies"/>
    <n v="3"/>
    <n v="143"/>
    <n v="0"/>
    <n v="429"/>
    <s v="Chennai"/>
    <s v="May"/>
    <n v="126"/>
  </r>
  <r>
    <s v="O0240"/>
    <s v="2025-01-21"/>
    <s v="Vikas"/>
    <s v="P017"/>
    <s v="Kesar Milk Chocolate"/>
    <s v="Cookies"/>
    <n v="13"/>
    <n v="151"/>
    <n v="5"/>
    <n v="1864.85"/>
    <s v="Hyderabad"/>
    <s v="Jan"/>
    <n v="689"/>
  </r>
  <r>
    <s v="O0241"/>
    <s v="2025-06-08"/>
    <s v="Priya"/>
    <s v="P022"/>
    <s v="Mint Choco Squares"/>
    <s v="Festive"/>
    <n v="9"/>
    <n v="147"/>
    <n v="10"/>
    <n v="1190.7"/>
    <s v="Bangalore"/>
    <s v="Jun"/>
    <n v="774"/>
  </r>
  <r>
    <s v="O0242"/>
    <s v="2025-02-08"/>
    <s v="Arjun"/>
    <s v="P001"/>
    <s v="Choco Pie Popstick"/>
    <s v="Snacks"/>
    <n v="9"/>
    <n v="74"/>
    <n v="10"/>
    <n v="599.4"/>
    <s v="Pune"/>
    <s v="Feb"/>
    <n v="252"/>
  </r>
  <r>
    <s v="O0243"/>
    <s v="2025-05-25"/>
    <s v="Meera"/>
    <s v="P012"/>
    <s v="Cashew Delight Bites"/>
    <s v="Cookies"/>
    <n v="14"/>
    <n v="98"/>
    <n v="10"/>
    <n v="1234.8"/>
    <s v="Pune"/>
    <s v="May"/>
    <n v="308"/>
  </r>
  <r>
    <s v="O0244"/>
    <s v="2025-06-04"/>
    <s v="Neha"/>
    <s v="P003"/>
    <s v="Choco Crunch Cone"/>
    <s v="Bars"/>
    <n v="12"/>
    <n v="86"/>
    <n v="10"/>
    <n v="928.8"/>
    <s v="Delhi"/>
    <s v="Jun"/>
    <n v="240"/>
  </r>
  <r>
    <s v="O0245"/>
    <s v="2025-05-28"/>
    <s v="Vikas"/>
    <s v="P010"/>
    <s v="Dry Fruit Special Chocolate"/>
    <s v="Bars"/>
    <n v="6"/>
    <n v="160"/>
    <n v="5"/>
    <n v="912"/>
    <s v="Chennai"/>
    <s v="May"/>
    <n v="396"/>
  </r>
  <r>
    <s v="O0246"/>
    <s v="2025-01-19"/>
    <s v="Sneha"/>
    <s v="P007"/>
    <s v="Choco Aura Custom Bar"/>
    <s v="Premium"/>
    <n v="4"/>
    <n v="128"/>
    <n v="0"/>
    <n v="512"/>
    <s v="Hyderabad"/>
    <s v="Jan"/>
    <n v="212"/>
  </r>
  <r>
    <s v="O0247"/>
    <s v="2025-03-24"/>
    <s v="Amit"/>
    <s v="P010"/>
    <s v="Dry Fruit Special Chocolate"/>
    <s v="Bars"/>
    <n v="3"/>
    <n v="160"/>
    <n v="5"/>
    <n v="456"/>
    <s v="Delhi"/>
    <s v="Mar"/>
    <n v="198"/>
  </r>
  <r>
    <s v="O0248"/>
    <s v="2025-01-03"/>
    <s v="Vikas"/>
    <s v="P028"/>
    <s v="Butterscotch Crunch Bar"/>
    <s v="Bars"/>
    <n v="13"/>
    <n v="109"/>
    <n v="10"/>
    <n v="1275.3"/>
    <s v="Chennai"/>
    <s v="Jan"/>
    <n v="715"/>
  </r>
  <r>
    <s v="O0249"/>
    <s v="2025-03-22"/>
    <s v="Vikas"/>
    <s v="P003"/>
    <s v="Choco Crunch Cone"/>
    <s v="Bars"/>
    <n v="4"/>
    <n v="86"/>
    <n v="5"/>
    <n v="326.8"/>
    <s v="Mumbai"/>
    <s v="Mar"/>
    <n v="80"/>
  </r>
  <r>
    <s v="O0250"/>
    <s v="2025-01-11"/>
    <s v="Sneha"/>
    <s v="P011"/>
    <s v="Almond Crunch Bar"/>
    <s v="Bars"/>
    <n v="13"/>
    <n v="90"/>
    <n v="15"/>
    <n v="994.5"/>
    <s v="Pune"/>
    <s v="Jan"/>
    <n v="403"/>
  </r>
  <r>
    <s v="O0251"/>
    <s v="2025-05-16"/>
    <s v="Pooja"/>
    <s v="P010"/>
    <s v="Dry Fruit Special Chocolate"/>
    <s v="Bars"/>
    <n v="9"/>
    <n v="160"/>
    <n v="0"/>
    <n v="1440"/>
    <s v="Delhi"/>
    <s v="May"/>
    <n v="594"/>
  </r>
  <r>
    <s v="O0252"/>
    <s v="2025-03-29"/>
    <s v="Vikas"/>
    <s v="P032"/>
    <s v="Choco Fudge Squares"/>
    <s v="Premium"/>
    <n v="4"/>
    <n v="130"/>
    <n v="10"/>
    <n v="468"/>
    <s v="Hyderabad"/>
    <s v="Mar"/>
    <n v="180"/>
  </r>
  <r>
    <s v="O0253"/>
    <s v="2025-05-31"/>
    <s v="Rohan"/>
    <s v="P026"/>
    <s v="Silk Ganache Cubes"/>
    <s v="Festive"/>
    <n v="15"/>
    <n v="82"/>
    <n v="15"/>
    <n v="1045.5"/>
    <s v="Hyderabad"/>
    <s v="May"/>
    <n v="600"/>
  </r>
  <r>
    <s v="O0254"/>
    <s v="2025-05-16"/>
    <s v="Neha"/>
    <s v="P024"/>
    <s v="Crunchy Wafer Chocolate"/>
    <s v="Bars"/>
    <n v="15"/>
    <n v="144"/>
    <n v="0"/>
    <n v="2160"/>
    <s v="Pune"/>
    <s v="May"/>
    <n v="840"/>
  </r>
  <r>
    <s v="O0255"/>
    <s v="2025-05-03"/>
    <s v="Sneha"/>
    <s v="P032"/>
    <s v="Choco Fudge Squares"/>
    <s v="Premium"/>
    <n v="9"/>
    <n v="130"/>
    <n v="5"/>
    <n v="1111.5"/>
    <s v="Delhi"/>
    <s v="May"/>
    <n v="405"/>
  </r>
  <r>
    <s v="O0256"/>
    <s v="2025-04-25"/>
    <s v="Sneha"/>
    <s v="P021"/>
    <s v="Orange Zest Chocolate"/>
    <s v="Premium"/>
    <n v="8"/>
    <n v="65"/>
    <n v="0"/>
    <n v="520"/>
    <s v="Mumbai"/>
    <s v="Apr"/>
    <n v="176"/>
  </r>
  <r>
    <s v="O0257"/>
    <s v="2025-04-25"/>
    <s v="Arjun"/>
    <s v="P033"/>
    <s v="Milk Chocolate Coins"/>
    <s v="Cookies"/>
    <n v="6"/>
    <n v="52"/>
    <n v="0"/>
    <n v="312"/>
    <s v="Pune"/>
    <s v="Apr"/>
    <n v="234"/>
  </r>
  <r>
    <s v="O0258"/>
    <s v="2025-06-17"/>
    <s v="Neha"/>
    <s v="P027"/>
    <s v="Premium Cocoa Slabs"/>
    <s v="Bars"/>
    <n v="3"/>
    <n v="135"/>
    <n v="10"/>
    <n v="364.5"/>
    <s v="Hyderabad"/>
    <s v="Jun"/>
    <n v="129"/>
  </r>
  <r>
    <s v="O0259"/>
    <s v="2025-06-08"/>
    <s v="Neha"/>
    <s v="P012"/>
    <s v="Cashew Delight Bites"/>
    <s v="Cookies"/>
    <n v="13"/>
    <n v="98"/>
    <n v="10"/>
    <n v="1146.5999999999999"/>
    <s v="Chennai"/>
    <s v="Jun"/>
    <n v="286"/>
  </r>
  <r>
    <s v="O0260"/>
    <s v="2025-03-21"/>
    <s v="Anjali"/>
    <s v="P027"/>
    <s v="Premium Cocoa Slabs"/>
    <s v="Bars"/>
    <n v="8"/>
    <n v="135"/>
    <n v="0"/>
    <n v="1080"/>
    <s v="Pune"/>
    <s v="Mar"/>
    <n v="344"/>
  </r>
  <r>
    <s v="O0261"/>
    <s v="2025-02-12"/>
    <s v="Anjali"/>
    <s v="P024"/>
    <s v="Crunchy Wafer Chocolate"/>
    <s v="Bars"/>
    <n v="7"/>
    <n v="144"/>
    <n v="15"/>
    <n v="856.8"/>
    <s v="Hyderabad"/>
    <s v="Feb"/>
    <n v="392"/>
  </r>
  <r>
    <s v="O0262"/>
    <s v="2025-04-27"/>
    <s v="Kiran"/>
    <s v="P027"/>
    <s v="Premium Cocoa Slabs"/>
    <s v="Bars"/>
    <n v="7"/>
    <n v="135"/>
    <n v="0"/>
    <n v="945"/>
    <s v="Chennai"/>
    <s v="Apr"/>
    <n v="301"/>
  </r>
  <r>
    <s v="O0263"/>
    <s v="2025-06-01"/>
    <s v="Rohan"/>
    <s v="P024"/>
    <s v="Crunchy Wafer Chocolate"/>
    <s v="Bars"/>
    <n v="13"/>
    <n v="144"/>
    <n v="15"/>
    <n v="1591.2"/>
    <s v="Pune"/>
    <s v="Jun"/>
    <n v="728"/>
  </r>
  <r>
    <s v="O0264"/>
    <s v="2025-03-24"/>
    <s v="Sneha"/>
    <s v="P017"/>
    <s v="Kesar Milk Chocolate"/>
    <s v="Cookies"/>
    <n v="10"/>
    <n v="151"/>
    <n v="15"/>
    <n v="1283.5"/>
    <s v="Mumbai"/>
    <s v="Mar"/>
    <n v="530"/>
  </r>
  <r>
    <s v="O0265"/>
    <s v="2025-06-28"/>
    <s v="Sneha"/>
    <s v="P002"/>
    <s v="Kunafa Bites"/>
    <s v="Premium"/>
    <n v="3"/>
    <n v="146"/>
    <n v="10"/>
    <n v="394.2"/>
    <s v="Mumbai"/>
    <s v="Jun"/>
    <n v="150"/>
  </r>
  <r>
    <s v="O0266"/>
    <s v="2025-01-20"/>
    <s v="Arjun"/>
    <s v="P030"/>
    <s v="Royal Dryfruit Mix"/>
    <s v="Cookies"/>
    <n v="3"/>
    <n v="135"/>
    <n v="5"/>
    <n v="384.75"/>
    <s v="Pune"/>
    <s v="Jan"/>
    <n v="240"/>
  </r>
  <r>
    <s v="O0267"/>
    <s v="2025-01-19"/>
    <s v="Arjun"/>
    <s v="P010"/>
    <s v="Dry Fruit Special Chocolate"/>
    <s v="Bars"/>
    <n v="10"/>
    <n v="160"/>
    <n v="5"/>
    <n v="1520"/>
    <s v="Bangalore"/>
    <s v="Jan"/>
    <n v="660"/>
  </r>
  <r>
    <s v="O0268"/>
    <s v="2025-03-22"/>
    <s v="Meera"/>
    <s v="P026"/>
    <s v="Silk Ganache Cubes"/>
    <s v="Festive"/>
    <n v="12"/>
    <n v="82"/>
    <n v="15"/>
    <n v="836.4"/>
    <s v="Chennai"/>
    <s v="Mar"/>
    <n v="480"/>
  </r>
  <r>
    <s v="O0269"/>
    <s v="2025-01-29"/>
    <s v="Rahul"/>
    <s v="P013"/>
    <s v="Pistachio Fusion Chocolate"/>
    <s v="Cookies"/>
    <n v="10"/>
    <n v="143"/>
    <n v="15"/>
    <n v="1215.5"/>
    <s v="Pune"/>
    <s v="Jan"/>
    <n v="420"/>
  </r>
  <r>
    <s v="O0270"/>
    <s v="2025-04-10"/>
    <s v="Vikas"/>
    <s v="P002"/>
    <s v="Kunafa Bites"/>
    <s v="Premium"/>
    <n v="9"/>
    <n v="146"/>
    <n v="0"/>
    <n v="1314"/>
    <s v="Chennai"/>
    <s v="Apr"/>
    <n v="450"/>
  </r>
  <r>
    <s v="O0271"/>
    <s v="2025-02-21"/>
    <s v="Pooja"/>
    <s v="P034"/>
    <s v="Signature Cocoa Bars"/>
    <s v="Cookies"/>
    <n v="5"/>
    <n v="154"/>
    <n v="15"/>
    <n v="654.5"/>
    <s v="Pune"/>
    <s v="Feb"/>
    <n v="290"/>
  </r>
  <r>
    <s v="O0272"/>
    <s v="2025-01-04"/>
    <s v="Neha"/>
    <s v="P008"/>
    <s v="Hazelnut Praline Chocolate"/>
    <s v="Premium"/>
    <n v="4"/>
    <n v="76"/>
    <n v="5"/>
    <n v="288.8"/>
    <s v="Chennai"/>
    <s v="Jan"/>
    <n v="120"/>
  </r>
  <r>
    <s v="O0273"/>
    <s v="2025-01-30"/>
    <s v="Anjali"/>
    <s v="P033"/>
    <s v="Milk Chocolate Coins"/>
    <s v="Cookies"/>
    <n v="6"/>
    <n v="52"/>
    <n v="10"/>
    <n v="280.8"/>
    <s v="Bangalore"/>
    <s v="Jan"/>
    <n v="234"/>
  </r>
  <r>
    <s v="O0274"/>
    <s v="2025-02-14"/>
    <s v="Sneha"/>
    <s v="P014"/>
    <s v="Dark Fantasy Squares"/>
    <s v="Snacks"/>
    <n v="7"/>
    <n v="96"/>
    <n v="10"/>
    <n v="604.79999999999995"/>
    <s v="Bangalore"/>
    <s v="Feb"/>
    <n v="532"/>
  </r>
  <r>
    <s v="O0275"/>
    <s v="2025-06-26"/>
    <s v="Arjun"/>
    <s v="P036"/>
    <s v="Classic Dark Chocolate"/>
    <s v="Cookies"/>
    <n v="9"/>
    <n v="139"/>
    <n v="5"/>
    <n v="1188.45"/>
    <s v="Hyderabad"/>
    <s v="Jun"/>
    <n v="630"/>
  </r>
  <r>
    <s v="O0276"/>
    <s v="2025-05-19"/>
    <s v="Neha"/>
    <s v="P026"/>
    <s v="Silk Ganache Cubes"/>
    <s v="Festive"/>
    <n v="4"/>
    <n v="82"/>
    <n v="10"/>
    <n v="295.2"/>
    <s v="Bangalore"/>
    <s v="May"/>
    <n v="160"/>
  </r>
  <r>
    <s v="O0277"/>
    <s v="2025-04-12"/>
    <s v="Arjun"/>
    <s v="P015"/>
    <s v="Caramel Crunch Cubes"/>
    <s v="Festive"/>
    <n v="10"/>
    <n v="158"/>
    <n v="0"/>
    <n v="1580"/>
    <s v="Delhi"/>
    <s v="Apr"/>
    <n v="950"/>
  </r>
  <r>
    <s v="O0278"/>
    <s v="2025-05-03"/>
    <s v="Priya"/>
    <s v="P009"/>
    <s v="Rose Pista Chocolate"/>
    <s v="Festive"/>
    <n v="11"/>
    <n v="96"/>
    <n v="10"/>
    <n v="950.4"/>
    <s v="Bangalore"/>
    <s v="May"/>
    <n v="264"/>
  </r>
  <r>
    <s v="O0279"/>
    <s v="2025-02-14"/>
    <s v="Neha"/>
    <s v="P032"/>
    <s v="Choco Fudge Squares"/>
    <s v="Premium"/>
    <n v="2"/>
    <n v="130"/>
    <n v="0"/>
    <n v="260"/>
    <s v="Pune"/>
    <s v="Feb"/>
    <n v="90"/>
  </r>
  <r>
    <s v="O0280"/>
    <s v="2025-05-13"/>
    <s v="Arjun"/>
    <s v="P025"/>
    <s v="Berry Blast Chocolate"/>
    <s v="Festive"/>
    <n v="15"/>
    <n v="168"/>
    <n v="0"/>
    <n v="2520"/>
    <s v="Delhi"/>
    <s v="May"/>
    <n v="825"/>
  </r>
  <r>
    <s v="O0281"/>
    <s v="2025-04-20"/>
    <s v="Anjali"/>
    <s v="P018"/>
    <s v="Fruit &amp; Nut Chocolate"/>
    <s v="Snacks"/>
    <n v="10"/>
    <n v="156"/>
    <n v="10"/>
    <n v="1404"/>
    <s v="Bangalore"/>
    <s v="Apr"/>
    <n v="630"/>
  </r>
  <r>
    <s v="O0282"/>
    <s v="2025-02-20"/>
    <s v="Anjali"/>
    <s v="P035"/>
    <s v="Velvet Truffle Bites"/>
    <s v="Cookies"/>
    <n v="12"/>
    <n v="199"/>
    <n v="5"/>
    <n v="2268.6"/>
    <s v="Delhi"/>
    <s v="Feb"/>
    <n v="1116"/>
  </r>
  <r>
    <s v="O0283"/>
    <s v="2025-02-20"/>
    <s v="Rohan"/>
    <s v="P023"/>
    <s v="Coconut Delight Bar"/>
    <s v="Snacks"/>
    <n v="6"/>
    <n v="37"/>
    <n v="10"/>
    <n v="199.8"/>
    <s v="Hyderabad"/>
    <s v="Feb"/>
    <n v="156"/>
  </r>
  <r>
    <s v="O0284"/>
    <s v="2025-04-01"/>
    <s v="Arjun"/>
    <s v="P012"/>
    <s v="Cashew Delight Bites"/>
    <s v="Cookies"/>
    <n v="4"/>
    <n v="98"/>
    <n v="15"/>
    <n v="333.2"/>
    <s v="Mumbai"/>
    <s v="Apr"/>
    <n v="88"/>
  </r>
  <r>
    <s v="O0285"/>
    <s v="2025-02-08"/>
    <s v="Neha"/>
    <s v="P009"/>
    <s v="Rose Pista Chocolate"/>
    <s v="Festive"/>
    <n v="7"/>
    <n v="96"/>
    <n v="15"/>
    <n v="571.20000000000005"/>
    <s v="Mumbai"/>
    <s v="Feb"/>
    <n v="168"/>
  </r>
  <r>
    <s v="O0286"/>
    <s v="2025-05-18"/>
    <s v="Vikas"/>
    <s v="P020"/>
    <s v="Coffee Mocha Bites"/>
    <s v="Snacks"/>
    <n v="15"/>
    <n v="61"/>
    <n v="5"/>
    <n v="869.25"/>
    <s v="Chennai"/>
    <s v="May"/>
    <n v="765"/>
  </r>
  <r>
    <s v="O0287"/>
    <s v="2025-01-14"/>
    <s v="Neha"/>
    <s v="P036"/>
    <s v="Classic Dark Chocolate"/>
    <s v="Cookies"/>
    <n v="13"/>
    <n v="139"/>
    <n v="10"/>
    <n v="1626.3"/>
    <s v="Mumbai"/>
    <s v="Jan"/>
    <n v="910"/>
  </r>
  <r>
    <s v="O0288"/>
    <s v="2025-05-23"/>
    <s v="Rohan"/>
    <s v="P027"/>
    <s v="Premium Cocoa Slabs"/>
    <s v="Bars"/>
    <n v="8"/>
    <n v="135"/>
    <n v="0"/>
    <n v="1080"/>
    <s v="Bangalore"/>
    <s v="May"/>
    <n v="344"/>
  </r>
  <r>
    <s v="O0289"/>
    <s v="2025-03-24"/>
    <s v="Sneha"/>
    <s v="P022"/>
    <s v="Mint Choco Squares"/>
    <s v="Festive"/>
    <n v="9"/>
    <n v="147"/>
    <n v="10"/>
    <n v="1190.7"/>
    <s v="Chennai"/>
    <s v="Mar"/>
    <n v="774"/>
  </r>
  <r>
    <s v="O0290"/>
    <s v="2025-06-28"/>
    <s v="Meera"/>
    <s v="P040"/>
    <s v="Festive Chocolate Pack"/>
    <s v="Festive"/>
    <n v="12"/>
    <n v="145"/>
    <n v="10"/>
    <n v="1566"/>
    <s v="Bangalore"/>
    <s v="Jun"/>
    <n v="984"/>
  </r>
  <r>
    <s v="O0291"/>
    <s v="2025-01-07"/>
    <s v="Rohan"/>
    <s v="P034"/>
    <s v="Signature Cocoa Bars"/>
    <s v="Cookies"/>
    <n v="1"/>
    <n v="154"/>
    <n v="5"/>
    <n v="146.30000000000001"/>
    <s v="Mumbai"/>
    <s v="Jan"/>
    <n v="58"/>
  </r>
  <r>
    <s v="O0292"/>
    <s v="2025-03-08"/>
    <s v="Priya"/>
    <s v="P008"/>
    <s v="Hazelnut Praline Chocolate"/>
    <s v="Premium"/>
    <n v="14"/>
    <n v="76"/>
    <n v="10"/>
    <n v="957.6"/>
    <s v="Hyderabad"/>
    <s v="Mar"/>
    <n v="420"/>
  </r>
  <r>
    <s v="O0293"/>
    <s v="2025-01-02"/>
    <s v="Anjali"/>
    <s v="P034"/>
    <s v="Signature Cocoa Bars"/>
    <s v="Cookies"/>
    <n v="15"/>
    <n v="154"/>
    <n v="5"/>
    <n v="2194.5"/>
    <s v="Chennai"/>
    <s v="Jan"/>
    <n v="870"/>
  </r>
  <r>
    <s v="O0294"/>
    <s v="2025-03-28"/>
    <s v="Anjali"/>
    <s v="P030"/>
    <s v="Royal Dryfruit Mix"/>
    <s v="Cookies"/>
    <n v="9"/>
    <n v="135"/>
    <n v="5"/>
    <n v="1154.25"/>
    <s v="Pune"/>
    <s v="Mar"/>
    <n v="720"/>
  </r>
  <r>
    <s v="O0295"/>
    <s v="2025-03-12"/>
    <s v="Arjun"/>
    <s v="P023"/>
    <s v="Coconut Delight Bar"/>
    <s v="Snacks"/>
    <n v="11"/>
    <n v="37"/>
    <n v="15"/>
    <n v="345.95"/>
    <s v="Pune"/>
    <s v="Mar"/>
    <n v="286"/>
  </r>
  <r>
    <s v="O0296"/>
    <s v="2025-06-11"/>
    <s v="Vikas"/>
    <s v="P024"/>
    <s v="Crunchy Wafer Chocolate"/>
    <s v="Bars"/>
    <n v="10"/>
    <n v="144"/>
    <n v="15"/>
    <n v="1224"/>
    <s v="Pune"/>
    <s v="Jun"/>
    <n v="560"/>
  </r>
  <r>
    <s v="O0297"/>
    <s v="2025-02-19"/>
    <s v="Pooja"/>
    <s v="P016"/>
    <s v="Nutella Filled Bites"/>
    <s v="Cookies"/>
    <n v="12"/>
    <n v="89"/>
    <n v="15"/>
    <n v="907.8"/>
    <s v="Pune"/>
    <s v="Feb"/>
    <n v="780"/>
  </r>
  <r>
    <s v="O0298"/>
    <s v="2025-06-14"/>
    <s v="Meera"/>
    <s v="P035"/>
    <s v="Velvet Truffle Bites"/>
    <s v="Cookies"/>
    <n v="5"/>
    <n v="199"/>
    <n v="15"/>
    <n v="845.75"/>
    <s v="Bangalore"/>
    <s v="Jun"/>
    <n v="465"/>
  </r>
  <r>
    <s v="O0299"/>
    <s v="2025-06-20"/>
    <s v="Pooja"/>
    <s v="P017"/>
    <s v="Kesar Milk Chocolate"/>
    <s v="Cookies"/>
    <n v="3"/>
    <n v="151"/>
    <n v="0"/>
    <n v="453"/>
    <s v="Mumbai"/>
    <s v="Jun"/>
    <n v="159"/>
  </r>
  <r>
    <s v="O0300"/>
    <s v="2025-06-26"/>
    <s v="Rohan"/>
    <s v="P004"/>
    <s v="Duo Choco Bites"/>
    <s v="Bars"/>
    <n v="1"/>
    <n v="99"/>
    <n v="0"/>
    <n v="99"/>
    <s v="Mumbai"/>
    <s v="Jun"/>
    <n v="24"/>
  </r>
  <r>
    <s v="O0301"/>
    <s v="2025-06-01"/>
    <s v="Pooja"/>
    <s v="P003"/>
    <s v="Choco Crunch Cone"/>
    <s v="Bars"/>
    <n v="12"/>
    <n v="86"/>
    <n v="5"/>
    <n v="980.4"/>
    <s v="Hyderabad"/>
    <s v="Jun"/>
    <n v="240"/>
  </r>
  <r>
    <s v="O0302"/>
    <s v="2025-06-09"/>
    <s v="Meera"/>
    <s v="P037"/>
    <s v="Golden Caramel Bites"/>
    <s v="Snacks"/>
    <n v="15"/>
    <n v="160"/>
    <n v="5"/>
    <n v="2280"/>
    <s v="Chennai"/>
    <s v="Jun"/>
    <n v="825"/>
  </r>
  <r>
    <s v="O0303"/>
    <s v="2025-03-22"/>
    <s v="Kiran"/>
    <s v="P010"/>
    <s v="Dry Fruit Special Chocolate"/>
    <s v="Bars"/>
    <n v="14"/>
    <n v="160"/>
    <n v="10"/>
    <n v="2016"/>
    <s v="Delhi"/>
    <s v="Mar"/>
    <n v="924"/>
  </r>
  <r>
    <s v="O0304"/>
    <s v="2025-04-02"/>
    <s v="Anjali"/>
    <s v="P017"/>
    <s v="Kesar Milk Chocolate"/>
    <s v="Cookies"/>
    <n v="1"/>
    <n v="151"/>
    <n v="5"/>
    <n v="143.44999999999999"/>
    <s v="Chennai"/>
    <s v="Apr"/>
    <n v="53"/>
  </r>
  <r>
    <s v="O0305"/>
    <s v="2025-04-08"/>
    <s v="Arjun"/>
    <s v="P032"/>
    <s v="Choco Fudge Squares"/>
    <s v="Premium"/>
    <n v="8"/>
    <n v="130"/>
    <n v="15"/>
    <n v="884"/>
    <s v="Chennai"/>
    <s v="Apr"/>
    <n v="360"/>
  </r>
  <r>
    <s v="O0306"/>
    <s v="2025-02-03"/>
    <s v="Rohan"/>
    <s v="P016"/>
    <s v="Nutella Filled Bites"/>
    <s v="Cookies"/>
    <n v="7"/>
    <n v="89"/>
    <n v="0"/>
    <n v="623"/>
    <s v="Pune"/>
    <s v="Feb"/>
    <n v="455"/>
  </r>
  <r>
    <s v="O0307"/>
    <s v="2025-01-12"/>
    <s v="Arjun"/>
    <s v="P023"/>
    <s v="Coconut Delight Bar"/>
    <s v="Snacks"/>
    <n v="14"/>
    <n v="37"/>
    <n v="0"/>
    <n v="518"/>
    <s v="Delhi"/>
    <s v="Jan"/>
    <n v="364"/>
  </r>
  <r>
    <s v="O0308"/>
    <s v="2025-05-23"/>
    <s v="Pooja"/>
    <s v="P009"/>
    <s v="Rose Pista Chocolate"/>
    <s v="Festive"/>
    <n v="4"/>
    <n v="96"/>
    <n v="0"/>
    <n v="384"/>
    <s v="Delhi"/>
    <s v="May"/>
    <n v="96"/>
  </r>
  <r>
    <s v="O0309"/>
    <s v="2025-06-05"/>
    <s v="Neha"/>
    <s v="P020"/>
    <s v="Coffee Mocha Bites"/>
    <s v="Snacks"/>
    <n v="12"/>
    <n v="61"/>
    <n v="15"/>
    <n v="622.20000000000005"/>
    <s v="Chennai"/>
    <s v="Jun"/>
    <n v="612"/>
  </r>
  <r>
    <s v="O0310"/>
    <s v="2025-04-11"/>
    <s v="Anjali"/>
    <s v="P024"/>
    <s v="Crunchy Wafer Chocolate"/>
    <s v="Bars"/>
    <n v="14"/>
    <n v="144"/>
    <n v="5"/>
    <n v="1915.2"/>
    <s v="Chennai"/>
    <s v="Apr"/>
    <n v="784"/>
  </r>
  <r>
    <s v="O0311"/>
    <s v="2025-04-17"/>
    <s v="Arjun"/>
    <s v="P006"/>
    <s v="Love Loaded Chocolate Bar"/>
    <s v="Festive"/>
    <n v="12"/>
    <n v="140"/>
    <n v="10"/>
    <n v="1512"/>
    <s v="Chennai"/>
    <s v="Apr"/>
    <n v="1176"/>
  </r>
  <r>
    <s v="O0312"/>
    <s v="2025-02-02"/>
    <s v="Vikas"/>
    <s v="P004"/>
    <s v="Duo Choco Bites"/>
    <s v="Bars"/>
    <n v="8"/>
    <n v="99"/>
    <n v="0"/>
    <n v="792"/>
    <s v="Mumbai"/>
    <s v="Feb"/>
    <n v="192"/>
  </r>
  <r>
    <s v="O0313"/>
    <s v="2025-03-02"/>
    <s v="Rohan"/>
    <s v="P013"/>
    <s v="Pistachio Fusion Chocolate"/>
    <s v="Cookies"/>
    <n v="15"/>
    <n v="143"/>
    <n v="10"/>
    <n v="1930.5"/>
    <s v="Bangalore"/>
    <s v="Mar"/>
    <n v="630"/>
  </r>
  <r>
    <s v="O0314"/>
    <s v="2025-06-13"/>
    <s v="Vikas"/>
    <s v="P038"/>
    <s v="Choco Biscuit Pops"/>
    <s v="Premium"/>
    <n v="8"/>
    <n v="113"/>
    <n v="0"/>
    <n v="904"/>
    <s v="Delhi"/>
    <s v="Jun"/>
    <n v="400"/>
  </r>
  <r>
    <s v="O0315"/>
    <s v="2025-02-27"/>
    <s v="Anjali"/>
    <s v="P033"/>
    <s v="Milk Chocolate Coins"/>
    <s v="Cookies"/>
    <n v="15"/>
    <n v="52"/>
    <n v="5"/>
    <n v="741"/>
    <s v="Delhi"/>
    <s v="Feb"/>
    <n v="585"/>
  </r>
  <r>
    <s v="O0316"/>
    <s v="2025-03-10"/>
    <s v="Rohan"/>
    <s v="P008"/>
    <s v="Hazelnut Praline Chocolate"/>
    <s v="Premium"/>
    <n v="2"/>
    <n v="76"/>
    <n v="5"/>
    <n v="144.4"/>
    <s v="Chennai"/>
    <s v="Mar"/>
    <n v="60"/>
  </r>
  <r>
    <s v="O0317"/>
    <s v="2025-03-29"/>
    <s v="Vikas"/>
    <s v="P038"/>
    <s v="Choco Biscuit Pops"/>
    <s v="Premium"/>
    <n v="3"/>
    <n v="113"/>
    <n v="15"/>
    <n v="288.14999999999998"/>
    <s v="Hyderabad"/>
    <s v="Mar"/>
    <n v="150"/>
  </r>
  <r>
    <s v="O0318"/>
    <s v="2025-06-08"/>
    <s v="Vikas"/>
    <s v="P020"/>
    <s v="Coffee Mocha Bites"/>
    <s v="Snacks"/>
    <n v="12"/>
    <n v="61"/>
    <n v="5"/>
    <n v="695.4"/>
    <s v="Bangalore"/>
    <s v="Jun"/>
    <n v="612"/>
  </r>
  <r>
    <s v="O0319"/>
    <s v="2025-01-24"/>
    <s v="Anjali"/>
    <s v="P039"/>
    <s v="Luxury Praline Box"/>
    <s v="Festive"/>
    <n v="10"/>
    <n v="181"/>
    <n v="0"/>
    <n v="1810"/>
    <s v="Mumbai"/>
    <s v="Jan"/>
    <n v="630"/>
  </r>
  <r>
    <s v="O0320"/>
    <s v="2025-01-24"/>
    <s v="Rohan"/>
    <s v="P010"/>
    <s v="Dry Fruit Special Chocolate"/>
    <s v="Bars"/>
    <n v="6"/>
    <n v="160"/>
    <n v="15"/>
    <n v="816"/>
    <s v="Chennai"/>
    <s v="Jan"/>
    <n v="396"/>
  </r>
  <r>
    <s v="O0321"/>
    <s v="2025-03-26"/>
    <s v="Neha"/>
    <s v="P011"/>
    <s v="Almond Crunch Bar"/>
    <s v="Bars"/>
    <n v="3"/>
    <n v="90"/>
    <n v="15"/>
    <n v="229.5"/>
    <s v="Mumbai"/>
    <s v="Mar"/>
    <n v="93"/>
  </r>
  <r>
    <s v="O0322"/>
    <s v="2025-06-15"/>
    <s v="Pooja"/>
    <s v="P036"/>
    <s v="Classic Dark Chocolate"/>
    <s v="Cookies"/>
    <n v="8"/>
    <n v="139"/>
    <n v="15"/>
    <n v="945.2"/>
    <s v="Bangalore"/>
    <s v="Jun"/>
    <n v="560"/>
  </r>
  <r>
    <s v="O0323"/>
    <s v="2025-05-11"/>
    <s v="Priya"/>
    <s v="P024"/>
    <s v="Crunchy Wafer Chocolate"/>
    <s v="Bars"/>
    <n v="8"/>
    <n v="144"/>
    <n v="5"/>
    <n v="1094.4000000000001"/>
    <s v="Hyderabad"/>
    <s v="May"/>
    <n v="448"/>
  </r>
  <r>
    <s v="O0324"/>
    <s v="2025-02-23"/>
    <s v="Rahul"/>
    <s v="P013"/>
    <s v="Pistachio Fusion Chocolate"/>
    <s v="Cookies"/>
    <n v="6"/>
    <n v="143"/>
    <n v="10"/>
    <n v="772.2"/>
    <s v="Pune"/>
    <s v="Feb"/>
    <n v="252"/>
  </r>
  <r>
    <s v="O0325"/>
    <s v="2025-05-05"/>
    <s v="Rahul"/>
    <s v="P032"/>
    <s v="Choco Fudge Squares"/>
    <s v="Premium"/>
    <n v="12"/>
    <n v="130"/>
    <n v="5"/>
    <n v="1482"/>
    <s v="Bangalore"/>
    <s v="May"/>
    <n v="540"/>
  </r>
  <r>
    <s v="O0326"/>
    <s v="2025-01-05"/>
    <s v="Vikas"/>
    <s v="P029"/>
    <s v="Choco Lava Bites"/>
    <s v="Snacks"/>
    <n v="14"/>
    <n v="100"/>
    <n v="0"/>
    <n v="1400"/>
    <s v="Mumbai"/>
    <s v="Jan"/>
    <n v="308"/>
  </r>
  <r>
    <s v="O0327"/>
    <s v="2025-04-13"/>
    <s v="Rahul"/>
    <s v="P002"/>
    <s v="Kunafa Bites"/>
    <s v="Premium"/>
    <n v="1"/>
    <n v="146"/>
    <n v="5"/>
    <n v="138.69999999999999"/>
    <s v="Delhi"/>
    <s v="Apr"/>
    <n v="50"/>
  </r>
  <r>
    <s v="O0328"/>
    <s v="2025-04-30"/>
    <s v="Kiran"/>
    <s v="P037"/>
    <s v="Golden Caramel Bites"/>
    <s v="Snacks"/>
    <n v="8"/>
    <n v="160"/>
    <n v="10"/>
    <n v="1152"/>
    <s v="Delhi"/>
    <s v="Apr"/>
    <n v="440"/>
  </r>
  <r>
    <s v="O0329"/>
    <s v="2025-05-14"/>
    <s v="Pooja"/>
    <s v="P004"/>
    <s v="Duo Choco Bites"/>
    <s v="Bars"/>
    <n v="8"/>
    <n v="99"/>
    <n v="0"/>
    <n v="792"/>
    <s v="Hyderabad"/>
    <s v="May"/>
    <n v="192"/>
  </r>
  <r>
    <s v="O0330"/>
    <s v="2025-03-07"/>
    <s v="Anjali"/>
    <s v="P018"/>
    <s v="Fruit &amp; Nut Chocolate"/>
    <s v="Snacks"/>
    <n v="13"/>
    <n v="156"/>
    <n v="5"/>
    <n v="1926.6"/>
    <s v="Mumbai"/>
    <s v="Mar"/>
    <n v="819"/>
  </r>
  <r>
    <s v="O0331"/>
    <s v="2025-02-06"/>
    <s v="Rahul"/>
    <s v="P021"/>
    <s v="Orange Zest Chocolate"/>
    <s v="Premium"/>
    <n v="5"/>
    <n v="65"/>
    <n v="5"/>
    <n v="308.75"/>
    <s v="Chennai"/>
    <s v="Feb"/>
    <n v="110"/>
  </r>
  <r>
    <s v="O0332"/>
    <s v="2025-04-27"/>
    <s v="Priya"/>
    <s v="P026"/>
    <s v="Silk Ganache Cubes"/>
    <s v="Festive"/>
    <n v="7"/>
    <n v="82"/>
    <n v="15"/>
    <n v="487.9"/>
    <s v="Hyderabad"/>
    <s v="Apr"/>
    <n v="280"/>
  </r>
  <r>
    <s v="O0333"/>
    <s v="2025-01-29"/>
    <s v="Meera"/>
    <s v="P004"/>
    <s v="Duo Choco Bites"/>
    <s v="Bars"/>
    <n v="9"/>
    <n v="99"/>
    <n v="5"/>
    <n v="846.45"/>
    <s v="Hyderabad"/>
    <s v="Jan"/>
    <n v="216"/>
  </r>
  <r>
    <s v="O0334"/>
    <s v="2025-06-02"/>
    <s v="Neha"/>
    <s v="P010"/>
    <s v="Dry Fruit Special Chocolate"/>
    <s v="Bars"/>
    <n v="12"/>
    <n v="160"/>
    <n v="15"/>
    <n v="1632"/>
    <s v="Bangalore"/>
    <s v="Jun"/>
    <n v="792"/>
  </r>
  <r>
    <s v="O0335"/>
    <s v="2025-01-15"/>
    <s v="Anjali"/>
    <s v="P003"/>
    <s v="Choco Crunch Cone"/>
    <s v="Bars"/>
    <n v="3"/>
    <n v="86"/>
    <n v="5"/>
    <n v="245.1"/>
    <s v="Chennai"/>
    <s v="Jan"/>
    <n v="60"/>
  </r>
  <r>
    <s v="O0336"/>
    <s v="2025-06-19"/>
    <s v="Pooja"/>
    <s v="P004"/>
    <s v="Duo Choco Bites"/>
    <s v="Bars"/>
    <n v="11"/>
    <n v="99"/>
    <n v="10"/>
    <n v="980.1"/>
    <s v="Hyderabad"/>
    <s v="Jun"/>
    <n v="264"/>
  </r>
  <r>
    <s v="O0337"/>
    <s v="2025-01-30"/>
    <s v="Amit"/>
    <s v="P011"/>
    <s v="Almond Crunch Bar"/>
    <s v="Bars"/>
    <n v="10"/>
    <n v="90"/>
    <n v="0"/>
    <n v="900"/>
    <s v="Bangalore"/>
    <s v="Jan"/>
    <n v="310"/>
  </r>
  <r>
    <s v="O0338"/>
    <s v="2025-04-18"/>
    <s v="Kiran"/>
    <s v="P011"/>
    <s v="Almond Crunch Bar"/>
    <s v="Bars"/>
    <n v="15"/>
    <n v="90"/>
    <n v="15"/>
    <n v="1147.5"/>
    <s v="Chennai"/>
    <s v="Apr"/>
    <n v="465"/>
  </r>
  <r>
    <s v="O0339"/>
    <s v="2025-01-20"/>
    <s v="Anjali"/>
    <s v="P028"/>
    <s v="Butterscotch Crunch Bar"/>
    <s v="Bars"/>
    <n v="12"/>
    <n v="109"/>
    <n v="15"/>
    <n v="1111.8"/>
    <s v="Delhi"/>
    <s v="Jan"/>
    <n v="660"/>
  </r>
  <r>
    <s v="O0340"/>
    <s v="2025-03-26"/>
    <s v="Rohan"/>
    <s v="P003"/>
    <s v="Choco Crunch Cone"/>
    <s v="Bars"/>
    <n v="11"/>
    <n v="86"/>
    <n v="0"/>
    <n v="946"/>
    <s v="Mumbai"/>
    <s v="Mar"/>
    <n v="220"/>
  </r>
  <r>
    <s v="O0341"/>
    <s v="2025-05-01"/>
    <s v="Sneha"/>
    <s v="P003"/>
    <s v="Choco Crunch Cone"/>
    <s v="Bars"/>
    <n v="1"/>
    <n v="86"/>
    <n v="10"/>
    <n v="77.400000000000006"/>
    <s v="Delhi"/>
    <s v="May"/>
    <n v="20"/>
  </r>
  <r>
    <s v="O0342"/>
    <s v="2025-06-18"/>
    <s v="Sneha"/>
    <s v="P014"/>
    <s v="Dark Fantasy Squares"/>
    <s v="Snacks"/>
    <n v="6"/>
    <n v="96"/>
    <n v="10"/>
    <n v="518.4"/>
    <s v="Hyderabad"/>
    <s v="Jun"/>
    <n v="456"/>
  </r>
  <r>
    <s v="O0343"/>
    <s v="2025-06-25"/>
    <s v="Neha"/>
    <s v="P019"/>
    <s v="White Chocolate Truffle"/>
    <s v="Bars"/>
    <n v="12"/>
    <n v="95"/>
    <n v="10"/>
    <n v="1026"/>
    <s v="Delhi"/>
    <s v="Jun"/>
    <n v="888"/>
  </r>
  <r>
    <s v="O0344"/>
    <s v="2025-04-06"/>
    <s v="Priya"/>
    <s v="P035"/>
    <s v="Velvet Truffle Bites"/>
    <s v="Cookies"/>
    <n v="12"/>
    <n v="199"/>
    <n v="0"/>
    <n v="2388"/>
    <s v="Hyderabad"/>
    <s v="Apr"/>
    <n v="1116"/>
  </r>
  <r>
    <s v="O0345"/>
    <s v="2025-01-05"/>
    <s v="Priya"/>
    <s v="P039"/>
    <s v="Luxury Praline Box"/>
    <s v="Festive"/>
    <n v="9"/>
    <n v="181"/>
    <n v="10"/>
    <n v="1466.1"/>
    <s v="Pune"/>
    <s v="Jan"/>
    <n v="567"/>
  </r>
  <r>
    <s v="O0346"/>
    <s v="2025-02-12"/>
    <s v="Rahul"/>
    <s v="P029"/>
    <s v="Choco Lava Bites"/>
    <s v="Snacks"/>
    <n v="13"/>
    <n v="100"/>
    <n v="5"/>
    <n v="1235"/>
    <s v="Delhi"/>
    <s v="Feb"/>
    <n v="286"/>
  </r>
  <r>
    <s v="O0347"/>
    <s v="2025-01-04"/>
    <s v="Pooja"/>
    <s v="P032"/>
    <s v="Choco Fudge Squares"/>
    <s v="Premium"/>
    <n v="5"/>
    <n v="130"/>
    <n v="15"/>
    <n v="552.5"/>
    <s v="Delhi"/>
    <s v="Jan"/>
    <n v="225"/>
  </r>
  <r>
    <s v="O0348"/>
    <s v="2025-04-16"/>
    <s v="Rohan"/>
    <s v="P021"/>
    <s v="Orange Zest Chocolate"/>
    <s v="Premium"/>
    <n v="12"/>
    <n v="65"/>
    <n v="5"/>
    <n v="741"/>
    <s v="Chennai"/>
    <s v="Apr"/>
    <n v="264"/>
  </r>
  <r>
    <s v="O0349"/>
    <s v="2025-01-20"/>
    <s v="Rahul"/>
    <s v="P032"/>
    <s v="Choco Fudge Squares"/>
    <s v="Premium"/>
    <n v="4"/>
    <n v="130"/>
    <n v="5"/>
    <n v="494"/>
    <s v="Hyderabad"/>
    <s v="Jan"/>
    <n v="180"/>
  </r>
  <r>
    <s v="O0350"/>
    <s v="2025-03-20"/>
    <s v="Sneha"/>
    <s v="P021"/>
    <s v="Orange Zest Chocolate"/>
    <s v="Premium"/>
    <n v="7"/>
    <n v="65"/>
    <n v="5"/>
    <n v="432.25"/>
    <s v="Delhi"/>
    <s v="Mar"/>
    <n v="154"/>
  </r>
  <r>
    <s v="O0351"/>
    <s v="2025-06-17"/>
    <s v="Amit"/>
    <s v="P014"/>
    <s v="Dark Fantasy Squares"/>
    <s v="Snacks"/>
    <n v="1"/>
    <n v="96"/>
    <n v="15"/>
    <n v="81.599999999999994"/>
    <s v="Mumbai"/>
    <s v="Jun"/>
    <n v="76"/>
  </r>
  <r>
    <s v="O0352"/>
    <s v="2025-03-22"/>
    <s v="Meera"/>
    <s v="P012"/>
    <s v="Cashew Delight Bites"/>
    <s v="Cookies"/>
    <n v="14"/>
    <n v="98"/>
    <n v="15"/>
    <n v="1166.2"/>
    <s v="Bangalore"/>
    <s v="Mar"/>
    <n v="308"/>
  </r>
  <r>
    <s v="O0353"/>
    <s v="2025-06-06"/>
    <s v="Sneha"/>
    <s v="P027"/>
    <s v="Premium Cocoa Slabs"/>
    <s v="Bars"/>
    <n v="5"/>
    <n v="135"/>
    <n v="10"/>
    <n v="607.5"/>
    <s v="Mumbai"/>
    <s v="Jun"/>
    <n v="215"/>
  </r>
  <r>
    <s v="O0354"/>
    <s v="2025-01-15"/>
    <s v="Priya"/>
    <s v="P028"/>
    <s v="Butterscotch Crunch Bar"/>
    <s v="Bars"/>
    <n v="3"/>
    <n v="109"/>
    <n v="0"/>
    <n v="327"/>
    <s v="Hyderabad"/>
    <s v="Jan"/>
    <n v="165"/>
  </r>
  <r>
    <s v="O0355"/>
    <s v="2025-01-20"/>
    <s v="Pooja"/>
    <s v="P004"/>
    <s v="Duo Choco Bites"/>
    <s v="Bars"/>
    <n v="3"/>
    <n v="99"/>
    <n v="5"/>
    <n v="282.14999999999998"/>
    <s v="Delhi"/>
    <s v="Jan"/>
    <n v="72"/>
  </r>
  <r>
    <s v="O0356"/>
    <s v="2025-06-06"/>
    <s v="Rahul"/>
    <s v="P013"/>
    <s v="Pistachio Fusion Chocolate"/>
    <s v="Cookies"/>
    <n v="12"/>
    <n v="143"/>
    <n v="15"/>
    <n v="1458.6"/>
    <s v="Chennai"/>
    <s v="Jun"/>
    <n v="504"/>
  </r>
  <r>
    <s v="O0357"/>
    <s v="2025-01-26"/>
    <s v="Pooja"/>
    <s v="P034"/>
    <s v="Signature Cocoa Bars"/>
    <s v="Cookies"/>
    <n v="11"/>
    <n v="154"/>
    <n v="5"/>
    <n v="1609.3"/>
    <s v="Chennai"/>
    <s v="Jan"/>
    <n v="638"/>
  </r>
  <r>
    <s v="O0358"/>
    <s v="2025-06-14"/>
    <s v="Neha"/>
    <s v="P020"/>
    <s v="Coffee Mocha Bites"/>
    <s v="Snacks"/>
    <n v="7"/>
    <n v="61"/>
    <n v="5"/>
    <n v="405.65"/>
    <s v="Mumbai"/>
    <s v="Jun"/>
    <n v="357"/>
  </r>
  <r>
    <s v="O0359"/>
    <s v="2025-03-23"/>
    <s v="Priya"/>
    <s v="P007"/>
    <s v="Choco Aura Custom Bar"/>
    <s v="Premium"/>
    <n v="15"/>
    <n v="128"/>
    <n v="5"/>
    <n v="1824"/>
    <s v="Chennai"/>
    <s v="Mar"/>
    <n v="795"/>
  </r>
  <r>
    <s v="O0360"/>
    <s v="2025-03-21"/>
    <s v="Meera"/>
    <s v="P013"/>
    <s v="Pistachio Fusion Chocolate"/>
    <s v="Cookies"/>
    <n v="10"/>
    <n v="143"/>
    <n v="5"/>
    <n v="1358.5"/>
    <s v="Delhi"/>
    <s v="Mar"/>
    <n v="420"/>
  </r>
  <r>
    <s v="O0361"/>
    <s v="2025-04-13"/>
    <s v="Amit"/>
    <s v="P019"/>
    <s v="White Chocolate Truffle"/>
    <s v="Bars"/>
    <n v="10"/>
    <n v="95"/>
    <n v="15"/>
    <n v="807.5"/>
    <s v="Mumbai"/>
    <s v="Apr"/>
    <n v="740"/>
  </r>
  <r>
    <s v="O0362"/>
    <s v="2025-04-11"/>
    <s v="Vikas"/>
    <s v="P040"/>
    <s v="Festive Chocolate Pack"/>
    <s v="Festive"/>
    <n v="7"/>
    <n v="145"/>
    <n v="15"/>
    <n v="862.75"/>
    <s v="Pune"/>
    <s v="Apr"/>
    <n v="574"/>
  </r>
  <r>
    <s v="O0363"/>
    <s v="2025-01-30"/>
    <s v="Anjali"/>
    <s v="P032"/>
    <s v="Choco Fudge Squares"/>
    <s v="Premium"/>
    <n v="4"/>
    <n v="130"/>
    <n v="10"/>
    <n v="468"/>
    <s v="Mumbai"/>
    <s v="Jan"/>
    <n v="180"/>
  </r>
  <r>
    <s v="O0364"/>
    <s v="2025-04-11"/>
    <s v="Neha"/>
    <s v="P031"/>
    <s v="Honey Almond Chocolate"/>
    <s v="Cookies"/>
    <n v="12"/>
    <n v="119"/>
    <n v="10"/>
    <n v="1285.2"/>
    <s v="Pune"/>
    <s v="Apr"/>
    <n v="564"/>
  </r>
  <r>
    <s v="O0365"/>
    <s v="2025-01-27"/>
    <s v="Priya"/>
    <s v="P019"/>
    <s v="White Chocolate Truffle"/>
    <s v="Bars"/>
    <n v="2"/>
    <n v="95"/>
    <n v="0"/>
    <n v="190"/>
    <s v="Mumbai"/>
    <s v="Jan"/>
    <n v="148"/>
  </r>
  <r>
    <s v="O0366"/>
    <s v="2025-04-26"/>
    <s v="Rohan"/>
    <s v="P025"/>
    <s v="Berry Blast Chocolate"/>
    <s v="Festive"/>
    <n v="6"/>
    <n v="168"/>
    <n v="5"/>
    <n v="957.6"/>
    <s v="Pune"/>
    <s v="Apr"/>
    <n v="330"/>
  </r>
  <r>
    <s v="O0367"/>
    <s v="2025-04-23"/>
    <s v="Vikas"/>
    <s v="P028"/>
    <s v="Butterscotch Crunch Bar"/>
    <s v="Bars"/>
    <n v="9"/>
    <n v="109"/>
    <n v="0"/>
    <n v="981"/>
    <s v="Mumbai"/>
    <s v="Apr"/>
    <n v="495"/>
  </r>
  <r>
    <s v="O0368"/>
    <s v="2025-02-22"/>
    <s v="Sneha"/>
    <s v="P014"/>
    <s v="Dark Fantasy Squares"/>
    <s v="Snacks"/>
    <n v="10"/>
    <n v="96"/>
    <n v="0"/>
    <n v="960"/>
    <s v="Delhi"/>
    <s v="Feb"/>
    <n v="760"/>
  </r>
  <r>
    <s v="O0369"/>
    <s v="2025-03-21"/>
    <s v="Anjali"/>
    <s v="P039"/>
    <s v="Luxury Praline Box"/>
    <s v="Festive"/>
    <n v="13"/>
    <n v="181"/>
    <n v="5"/>
    <n v="2235.35"/>
    <s v="Chennai"/>
    <s v="Mar"/>
    <n v="819"/>
  </r>
  <r>
    <s v="O0370"/>
    <s v="2025-01-18"/>
    <s v="Rahul"/>
    <s v="P020"/>
    <s v="Coffee Mocha Bites"/>
    <s v="Snacks"/>
    <n v="1"/>
    <n v="61"/>
    <n v="15"/>
    <n v="51.85"/>
    <s v="Mumbai"/>
    <s v="Jan"/>
    <n v="51"/>
  </r>
  <r>
    <s v="O0371"/>
    <s v="2025-03-14"/>
    <s v="Rahul"/>
    <s v="P025"/>
    <s v="Berry Blast Chocolate"/>
    <s v="Festive"/>
    <n v="15"/>
    <n v="168"/>
    <n v="0"/>
    <n v="2520"/>
    <s v="Pune"/>
    <s v="Mar"/>
    <n v="825"/>
  </r>
  <r>
    <s v="O0372"/>
    <s v="2025-06-30"/>
    <s v="Amit"/>
    <s v="P006"/>
    <s v="Love Loaded Chocolate Bar"/>
    <s v="Festive"/>
    <n v="9"/>
    <n v="140"/>
    <n v="15"/>
    <n v="1071"/>
    <s v="Delhi"/>
    <s v="Jun"/>
    <n v="882"/>
  </r>
  <r>
    <s v="O0373"/>
    <s v="2025-06-11"/>
    <s v="Neha"/>
    <s v="P002"/>
    <s v="Kunafa Bites"/>
    <s v="Premium"/>
    <n v="9"/>
    <n v="146"/>
    <n v="0"/>
    <n v="1314"/>
    <s v="Hyderabad"/>
    <s v="Jun"/>
    <n v="450"/>
  </r>
  <r>
    <s v="O0374"/>
    <s v="2025-04-25"/>
    <s v="Vikas"/>
    <s v="P018"/>
    <s v="Fruit &amp; Nut Chocolate"/>
    <s v="Snacks"/>
    <n v="13"/>
    <n v="156"/>
    <n v="15"/>
    <n v="1723.8"/>
    <s v="Bangalore"/>
    <s v="Apr"/>
    <n v="819"/>
  </r>
  <r>
    <s v="O0375"/>
    <s v="2025-05-19"/>
    <s v="Priya"/>
    <s v="P022"/>
    <s v="Mint Choco Squares"/>
    <s v="Festive"/>
    <n v="10"/>
    <n v="147"/>
    <n v="0"/>
    <n v="1470"/>
    <s v="Bangalore"/>
    <s v="May"/>
    <n v="860"/>
  </r>
  <r>
    <s v="O0376"/>
    <s v="2025-06-05"/>
    <s v="Rohan"/>
    <s v="P013"/>
    <s v="Pistachio Fusion Chocolate"/>
    <s v="Cookies"/>
    <n v="4"/>
    <n v="143"/>
    <n v="0"/>
    <n v="572"/>
    <s v="Bangalore"/>
    <s v="Jun"/>
    <n v="168"/>
  </r>
  <r>
    <s v="O0377"/>
    <s v="2025-04-16"/>
    <s v="Sneha"/>
    <s v="P035"/>
    <s v="Velvet Truffle Bites"/>
    <s v="Cookies"/>
    <n v="11"/>
    <n v="199"/>
    <n v="5"/>
    <n v="2079.5500000000002"/>
    <s v="Pune"/>
    <s v="Apr"/>
    <n v="1023"/>
  </r>
  <r>
    <s v="O0378"/>
    <s v="2025-01-01"/>
    <s v="Rohan"/>
    <s v="P011"/>
    <s v="Almond Crunch Bar"/>
    <s v="Bars"/>
    <n v="12"/>
    <n v="90"/>
    <n v="0"/>
    <n v="1080"/>
    <s v="Chennai"/>
    <s v="Jan"/>
    <n v="372"/>
  </r>
  <r>
    <s v="O0379"/>
    <s v="2025-01-08"/>
    <s v="Kiran"/>
    <s v="P032"/>
    <s v="Choco Fudge Squares"/>
    <s v="Premium"/>
    <n v="8"/>
    <n v="130"/>
    <n v="5"/>
    <n v="988"/>
    <s v="Delhi"/>
    <s v="Jan"/>
    <n v="360"/>
  </r>
  <r>
    <s v="O0380"/>
    <s v="2025-01-10"/>
    <s v="Priya"/>
    <s v="P014"/>
    <s v="Dark Fantasy Squares"/>
    <s v="Snacks"/>
    <n v="15"/>
    <n v="96"/>
    <n v="0"/>
    <n v="1440"/>
    <s v="Mumbai"/>
    <s v="Jan"/>
    <n v="1140"/>
  </r>
  <r>
    <s v="O0381"/>
    <s v="2025-03-19"/>
    <s v="Amit"/>
    <s v="P010"/>
    <s v="Dry Fruit Special Chocolate"/>
    <s v="Bars"/>
    <n v="14"/>
    <n v="160"/>
    <n v="0"/>
    <n v="2240"/>
    <s v="Bangalore"/>
    <s v="Mar"/>
    <n v="924"/>
  </r>
  <r>
    <s v="O0382"/>
    <s v="2025-04-14"/>
    <s v="Arjun"/>
    <s v="P027"/>
    <s v="Premium Cocoa Slabs"/>
    <s v="Bars"/>
    <n v="5"/>
    <n v="135"/>
    <n v="10"/>
    <n v="607.5"/>
    <s v="Delhi"/>
    <s v="Apr"/>
    <n v="215"/>
  </r>
  <r>
    <s v="O0383"/>
    <s v="2025-06-28"/>
    <s v="Amit"/>
    <s v="P035"/>
    <s v="Velvet Truffle Bites"/>
    <s v="Cookies"/>
    <n v="4"/>
    <n v="199"/>
    <n v="15"/>
    <n v="676.6"/>
    <s v="Chennai"/>
    <s v="Jun"/>
    <n v="372"/>
  </r>
  <r>
    <s v="O0384"/>
    <s v="2025-06-14"/>
    <s v="Neha"/>
    <s v="P026"/>
    <s v="Silk Ganache Cubes"/>
    <s v="Festive"/>
    <n v="14"/>
    <n v="82"/>
    <n v="5"/>
    <n v="1090.5999999999999"/>
    <s v="Hyderabad"/>
    <s v="Jun"/>
    <n v="560"/>
  </r>
  <r>
    <s v="O0385"/>
    <s v="2025-04-08"/>
    <s v="Anjali"/>
    <s v="P029"/>
    <s v="Choco Lava Bites"/>
    <s v="Snacks"/>
    <n v="13"/>
    <n v="100"/>
    <n v="10"/>
    <n v="1170"/>
    <s v="Bangalore"/>
    <s v="Apr"/>
    <n v="286"/>
  </r>
  <r>
    <s v="O0386"/>
    <s v="2025-02-08"/>
    <s v="Rahul"/>
    <s v="P030"/>
    <s v="Royal Dryfruit Mix"/>
    <s v="Cookies"/>
    <n v="8"/>
    <n v="135"/>
    <n v="10"/>
    <n v="972"/>
    <s v="Hyderabad"/>
    <s v="Feb"/>
    <n v="640"/>
  </r>
  <r>
    <s v="O0387"/>
    <s v="2025-03-13"/>
    <s v="Rahul"/>
    <s v="P036"/>
    <s v="Classic Dark Chocolate"/>
    <s v="Cookies"/>
    <n v="3"/>
    <n v="139"/>
    <n v="5"/>
    <n v="396.15"/>
    <s v="Bangalore"/>
    <s v="Mar"/>
    <n v="210"/>
  </r>
  <r>
    <s v="O0388"/>
    <s v="2025-03-06"/>
    <s v="Pooja"/>
    <s v="P016"/>
    <s v="Nutella Filled Bites"/>
    <s v="Cookies"/>
    <n v="3"/>
    <n v="89"/>
    <n v="10"/>
    <n v="240.3"/>
    <s v="Mumbai"/>
    <s v="Mar"/>
    <n v="195"/>
  </r>
  <r>
    <s v="O0389"/>
    <s v="2025-01-20"/>
    <s v="Arjun"/>
    <s v="P020"/>
    <s v="Coffee Mocha Bites"/>
    <s v="Snacks"/>
    <n v="4"/>
    <n v="61"/>
    <n v="15"/>
    <n v="207.4"/>
    <s v="Hyderabad"/>
    <s v="Jan"/>
    <n v="204"/>
  </r>
  <r>
    <s v="O0390"/>
    <s v="2025-06-09"/>
    <s v="Anjali"/>
    <s v="P026"/>
    <s v="Silk Ganache Cubes"/>
    <s v="Festive"/>
    <n v="7"/>
    <n v="82"/>
    <n v="15"/>
    <n v="487.9"/>
    <s v="Pune"/>
    <s v="Jun"/>
    <n v="280"/>
  </r>
  <r>
    <s v="O0391"/>
    <s v="2025-06-22"/>
    <s v="Rohan"/>
    <s v="P014"/>
    <s v="Dark Fantasy Squares"/>
    <s v="Snacks"/>
    <n v="14"/>
    <n v="96"/>
    <n v="5"/>
    <n v="1276.8"/>
    <s v="Chennai"/>
    <s v="Jun"/>
    <n v="1064"/>
  </r>
  <r>
    <s v="O0392"/>
    <s v="2025-03-14"/>
    <s v="Anjali"/>
    <s v="P027"/>
    <s v="Premium Cocoa Slabs"/>
    <s v="Bars"/>
    <n v="13"/>
    <n v="135"/>
    <n v="5"/>
    <n v="1667.25"/>
    <s v="Mumbai"/>
    <s v="Mar"/>
    <n v="559"/>
  </r>
  <r>
    <s v="O0393"/>
    <s v="2025-01-20"/>
    <s v="Rahul"/>
    <s v="P040"/>
    <s v="Festive Chocolate Pack"/>
    <s v="Festive"/>
    <n v="12"/>
    <n v="145"/>
    <n v="15"/>
    <n v="1479"/>
    <s v="Bangalore"/>
    <s v="Jan"/>
    <n v="984"/>
  </r>
  <r>
    <s v="O0394"/>
    <s v="2025-04-10"/>
    <s v="Pooja"/>
    <s v="P038"/>
    <s v="Choco Biscuit Pops"/>
    <s v="Premium"/>
    <n v="2"/>
    <n v="113"/>
    <n v="5"/>
    <n v="214.7"/>
    <s v="Pune"/>
    <s v="Apr"/>
    <n v="100"/>
  </r>
  <r>
    <s v="O0395"/>
    <s v="2025-05-30"/>
    <s v="Rahul"/>
    <s v="P021"/>
    <s v="Orange Zest Chocolate"/>
    <s v="Premium"/>
    <n v="8"/>
    <n v="65"/>
    <n v="15"/>
    <n v="442"/>
    <s v="Mumbai"/>
    <s v="May"/>
    <n v="176"/>
  </r>
  <r>
    <s v="O0396"/>
    <s v="2025-05-08"/>
    <s v="Rohan"/>
    <s v="P012"/>
    <s v="Cashew Delight Bites"/>
    <s v="Cookies"/>
    <n v="1"/>
    <n v="98"/>
    <n v="15"/>
    <n v="83.3"/>
    <s v="Bangalore"/>
    <s v="May"/>
    <n v="22"/>
  </r>
  <r>
    <s v="O0397"/>
    <s v="2025-04-06"/>
    <s v="Meera"/>
    <s v="P031"/>
    <s v="Honey Almond Chocolate"/>
    <s v="Cookies"/>
    <n v="13"/>
    <n v="119"/>
    <n v="5"/>
    <n v="1469.65"/>
    <s v="Bangalore"/>
    <s v="Apr"/>
    <n v="611"/>
  </r>
  <r>
    <s v="O0398"/>
    <s v="2025-05-24"/>
    <s v="Arjun"/>
    <s v="P024"/>
    <s v="Crunchy Wafer Chocolate"/>
    <s v="Bars"/>
    <n v="8"/>
    <n v="144"/>
    <n v="10"/>
    <n v="1036.8"/>
    <s v="Chennai"/>
    <s v="May"/>
    <n v="448"/>
  </r>
  <r>
    <s v="O0399"/>
    <s v="2025-05-02"/>
    <s v="Vikas"/>
    <s v="P003"/>
    <s v="Choco Crunch Cone"/>
    <s v="Bars"/>
    <n v="12"/>
    <n v="86"/>
    <n v="10"/>
    <n v="928.8"/>
    <s v="Hyderabad"/>
    <s v="May"/>
    <n v="240"/>
  </r>
  <r>
    <s v="O0400"/>
    <s v="2025-02-22"/>
    <s v="Amit"/>
    <s v="P026"/>
    <s v="Silk Ganache Cubes"/>
    <s v="Festive"/>
    <n v="7"/>
    <n v="82"/>
    <n v="0"/>
    <n v="574"/>
    <s v="Pune"/>
    <s v="Feb"/>
    <n v="280"/>
  </r>
  <r>
    <s v="O0401"/>
    <s v="2025-02-24"/>
    <s v="Sneha"/>
    <s v="P027"/>
    <s v="Premium Cocoa Slabs"/>
    <s v="Bars"/>
    <n v="8"/>
    <n v="135"/>
    <n v="0"/>
    <n v="1080"/>
    <s v="Mumbai"/>
    <s v="Feb"/>
    <n v="344"/>
  </r>
  <r>
    <s v="O0402"/>
    <s v="2025-05-11"/>
    <s v="Rohan"/>
    <s v="P016"/>
    <s v="Nutella Filled Bites"/>
    <s v="Cookies"/>
    <n v="4"/>
    <n v="89"/>
    <n v="5"/>
    <n v="338.2"/>
    <s v="Mumbai"/>
    <s v="May"/>
    <n v="260"/>
  </r>
  <r>
    <s v="O0403"/>
    <s v="2025-04-13"/>
    <s v="Pooja"/>
    <s v="P013"/>
    <s v="Pistachio Fusion Chocolate"/>
    <s v="Cookies"/>
    <n v="12"/>
    <n v="143"/>
    <n v="15"/>
    <n v="1458.6"/>
    <s v="Pune"/>
    <s v="Apr"/>
    <n v="504"/>
  </r>
  <r>
    <s v="O0404"/>
    <s v="2025-02-07"/>
    <s v="Priya"/>
    <s v="P031"/>
    <s v="Honey Almond Chocolate"/>
    <s v="Cookies"/>
    <n v="10"/>
    <n v="119"/>
    <n v="0"/>
    <n v="1190"/>
    <s v="Mumbai"/>
    <s v="Feb"/>
    <n v="470"/>
  </r>
  <r>
    <s v="O0405"/>
    <s v="2025-01-21"/>
    <s v="Rahul"/>
    <s v="P023"/>
    <s v="Coconut Delight Bar"/>
    <s v="Snacks"/>
    <n v="5"/>
    <n v="37"/>
    <n v="15"/>
    <n v="157.25"/>
    <s v="Bangalore"/>
    <s v="Jan"/>
    <n v="130"/>
  </r>
  <r>
    <s v="O0406"/>
    <s v="2025-05-12"/>
    <s v="Sneha"/>
    <s v="P026"/>
    <s v="Silk Ganache Cubes"/>
    <s v="Festive"/>
    <n v="6"/>
    <n v="82"/>
    <n v="0"/>
    <n v="492"/>
    <s v="Mumbai"/>
    <s v="May"/>
    <n v="240"/>
  </r>
  <r>
    <s v="O0407"/>
    <s v="2025-04-17"/>
    <s v="Amit"/>
    <s v="P023"/>
    <s v="Coconut Delight Bar"/>
    <s v="Snacks"/>
    <n v="14"/>
    <n v="37"/>
    <n v="5"/>
    <n v="492.1"/>
    <s v="Chennai"/>
    <s v="Apr"/>
    <n v="364"/>
  </r>
  <r>
    <s v="O0408"/>
    <s v="2025-03-28"/>
    <s v="Anjali"/>
    <s v="P022"/>
    <s v="Mint Choco Squares"/>
    <s v="Festive"/>
    <n v="5"/>
    <n v="147"/>
    <n v="15"/>
    <n v="624.75"/>
    <s v="Delhi"/>
    <s v="Mar"/>
    <n v="430"/>
  </r>
  <r>
    <s v="O0409"/>
    <s v="2025-03-26"/>
    <s v="Anjali"/>
    <s v="P023"/>
    <s v="Coconut Delight Bar"/>
    <s v="Snacks"/>
    <n v="9"/>
    <n v="37"/>
    <n v="15"/>
    <n v="283.05"/>
    <s v="Hyderabad"/>
    <s v="Mar"/>
    <n v="234"/>
  </r>
  <r>
    <s v="O0410"/>
    <s v="2025-03-15"/>
    <s v="Meera"/>
    <s v="P013"/>
    <s v="Pistachio Fusion Chocolate"/>
    <s v="Cookies"/>
    <n v="3"/>
    <n v="143"/>
    <n v="15"/>
    <n v="364.65"/>
    <s v="Bangalore"/>
    <s v="Mar"/>
    <n v="126"/>
  </r>
  <r>
    <s v="O0411"/>
    <s v="2025-04-05"/>
    <s v="Rahul"/>
    <s v="P016"/>
    <s v="Nutella Filled Bites"/>
    <s v="Cookies"/>
    <n v="4"/>
    <n v="89"/>
    <n v="15"/>
    <n v="302.60000000000002"/>
    <s v="Chennai"/>
    <s v="Apr"/>
    <n v="260"/>
  </r>
  <r>
    <s v="O0412"/>
    <s v="2025-05-21"/>
    <s v="Sneha"/>
    <s v="P012"/>
    <s v="Cashew Delight Bites"/>
    <s v="Cookies"/>
    <n v="15"/>
    <n v="98"/>
    <n v="15"/>
    <n v="1249.5"/>
    <s v="Mumbai"/>
    <s v="May"/>
    <n v="330"/>
  </r>
  <r>
    <s v="O0413"/>
    <s v="2025-04-08"/>
    <s v="Kiran"/>
    <s v="P026"/>
    <s v="Silk Ganache Cubes"/>
    <s v="Festive"/>
    <n v="9"/>
    <n v="82"/>
    <n v="5"/>
    <n v="701.1"/>
    <s v="Mumbai"/>
    <s v="Apr"/>
    <n v="360"/>
  </r>
  <r>
    <s v="O0414"/>
    <s v="2025-06-07"/>
    <s v="Meera"/>
    <s v="P001"/>
    <s v="Choco Pie Popstick"/>
    <s v="Snacks"/>
    <n v="3"/>
    <n v="74"/>
    <n v="5"/>
    <n v="210.9"/>
    <s v="Mumbai"/>
    <s v="Jun"/>
    <n v="84"/>
  </r>
  <r>
    <s v="O0415"/>
    <s v="2025-06-23"/>
    <s v="Priya"/>
    <s v="P018"/>
    <s v="Fruit &amp; Nut Chocolate"/>
    <s v="Snacks"/>
    <n v="8"/>
    <n v="156"/>
    <n v="15"/>
    <n v="1060.8"/>
    <s v="Mumbai"/>
    <s v="Jun"/>
    <n v="504"/>
  </r>
  <r>
    <s v="O0416"/>
    <s v="2025-05-18"/>
    <s v="Pooja"/>
    <s v="P019"/>
    <s v="White Chocolate Truffle"/>
    <s v="Bars"/>
    <n v="14"/>
    <n v="95"/>
    <n v="0"/>
    <n v="1330"/>
    <s v="Delhi"/>
    <s v="May"/>
    <n v="1036"/>
  </r>
  <r>
    <s v="O0417"/>
    <s v="2025-01-22"/>
    <s v="Rohan"/>
    <s v="P001"/>
    <s v="Choco Pie Popstick"/>
    <s v="Snacks"/>
    <n v="13"/>
    <n v="74"/>
    <n v="0"/>
    <n v="962"/>
    <s v="Bangalore"/>
    <s v="Jan"/>
    <n v="364"/>
  </r>
  <r>
    <s v="O0418"/>
    <s v="2025-06-13"/>
    <s v="Neha"/>
    <s v="P004"/>
    <s v="Duo Choco Bites"/>
    <s v="Bars"/>
    <n v="4"/>
    <n v="99"/>
    <n v="10"/>
    <n v="356.4"/>
    <s v="Pune"/>
    <s v="Jun"/>
    <n v="96"/>
  </r>
  <r>
    <s v="O0419"/>
    <s v="2025-01-10"/>
    <s v="Neha"/>
    <s v="P003"/>
    <s v="Choco Crunch Cone"/>
    <s v="Bars"/>
    <n v="10"/>
    <n v="86"/>
    <n v="5"/>
    <n v="817"/>
    <s v="Pune"/>
    <s v="Jan"/>
    <n v="200"/>
  </r>
  <r>
    <s v="O0420"/>
    <s v="2025-06-18"/>
    <s v="Amit"/>
    <s v="P007"/>
    <s v="Choco Aura Custom Bar"/>
    <s v="Premium"/>
    <n v="1"/>
    <n v="128"/>
    <n v="5"/>
    <n v="121.6"/>
    <s v="Delhi"/>
    <s v="Jun"/>
    <n v="53"/>
  </r>
  <r>
    <s v="O0421"/>
    <s v="2025-05-11"/>
    <s v="Pooja"/>
    <s v="P036"/>
    <s v="Classic Dark Chocolate"/>
    <s v="Cookies"/>
    <n v="9"/>
    <n v="139"/>
    <n v="5"/>
    <n v="1188.45"/>
    <s v="Pune"/>
    <s v="May"/>
    <n v="630"/>
  </r>
  <r>
    <s v="O0422"/>
    <s v="2025-01-11"/>
    <s v="Vikas"/>
    <s v="P008"/>
    <s v="Hazelnut Praline Chocolate"/>
    <s v="Premium"/>
    <n v="6"/>
    <n v="76"/>
    <n v="0"/>
    <n v="456"/>
    <s v="Mumbai"/>
    <s v="Jan"/>
    <n v="180"/>
  </r>
  <r>
    <s v="O0423"/>
    <s v="2025-05-18"/>
    <s v="Arjun"/>
    <s v="P038"/>
    <s v="Choco Biscuit Pops"/>
    <s v="Premium"/>
    <n v="14"/>
    <n v="113"/>
    <n v="10"/>
    <n v="1423.8"/>
    <s v="Mumbai"/>
    <s v="May"/>
    <n v="700"/>
  </r>
  <r>
    <s v="O0424"/>
    <s v="2025-04-20"/>
    <s v="Anjali"/>
    <s v="P025"/>
    <s v="Berry Blast Chocolate"/>
    <s v="Festive"/>
    <n v="8"/>
    <n v="168"/>
    <n v="0"/>
    <n v="1344"/>
    <s v="Delhi"/>
    <s v="Apr"/>
    <n v="440"/>
  </r>
  <r>
    <s v="O0425"/>
    <s v="2025-06-22"/>
    <s v="Meera"/>
    <s v="P028"/>
    <s v="Butterscotch Crunch Bar"/>
    <s v="Bars"/>
    <n v="6"/>
    <n v="109"/>
    <n v="15"/>
    <n v="555.9"/>
    <s v="Hyderabad"/>
    <s v="Jun"/>
    <n v="330"/>
  </r>
  <r>
    <s v="O0426"/>
    <s v="2025-02-22"/>
    <s v="Meera"/>
    <s v="P034"/>
    <s v="Signature Cocoa Bars"/>
    <s v="Cookies"/>
    <n v="3"/>
    <n v="154"/>
    <n v="10"/>
    <n v="415.8"/>
    <s v="Delhi"/>
    <s v="Feb"/>
    <n v="174"/>
  </r>
  <r>
    <s v="O0427"/>
    <s v="2025-01-29"/>
    <s v="Vikas"/>
    <s v="P012"/>
    <s v="Cashew Delight Bites"/>
    <s v="Cookies"/>
    <n v="6"/>
    <n v="98"/>
    <n v="0"/>
    <n v="588"/>
    <s v="Bangalore"/>
    <s v="Jan"/>
    <n v="132"/>
  </r>
  <r>
    <s v="O0428"/>
    <s v="2025-01-08"/>
    <s v="Pooja"/>
    <s v="P025"/>
    <s v="Berry Blast Chocolate"/>
    <s v="Festive"/>
    <n v="13"/>
    <n v="168"/>
    <n v="0"/>
    <n v="2184"/>
    <s v="Chennai"/>
    <s v="Jan"/>
    <n v="715"/>
  </r>
  <r>
    <s v="O0429"/>
    <s v="2025-05-10"/>
    <s v="Kiran"/>
    <s v="P027"/>
    <s v="Premium Cocoa Slabs"/>
    <s v="Bars"/>
    <n v="8"/>
    <n v="135"/>
    <n v="10"/>
    <n v="972"/>
    <s v="Hyderabad"/>
    <s v="May"/>
    <n v="344"/>
  </r>
  <r>
    <s v="O0430"/>
    <s v="2025-06-03"/>
    <s v="Neha"/>
    <s v="P005"/>
    <s v="Choco Dip Cookie"/>
    <s v="Premium"/>
    <n v="14"/>
    <n v="98"/>
    <n v="10"/>
    <n v="1234.8"/>
    <s v="Hyderabad"/>
    <s v="Jun"/>
    <n v="812"/>
  </r>
  <r>
    <s v="O0431"/>
    <s v="2025-01-26"/>
    <s v="Pooja"/>
    <s v="P029"/>
    <s v="Choco Lava Bites"/>
    <s v="Snacks"/>
    <n v="11"/>
    <n v="100"/>
    <n v="0"/>
    <n v="1100"/>
    <s v="Chennai"/>
    <s v="Jan"/>
    <n v="242"/>
  </r>
  <r>
    <s v="O0432"/>
    <s v="2025-02-09"/>
    <s v="Amit"/>
    <s v="P040"/>
    <s v="Festive Chocolate Pack"/>
    <s v="Festive"/>
    <n v="1"/>
    <n v="145"/>
    <n v="10"/>
    <n v="130.5"/>
    <s v="Delhi"/>
    <s v="Feb"/>
    <n v="82"/>
  </r>
  <r>
    <s v="O0433"/>
    <s v="2025-05-24"/>
    <s v="Kiran"/>
    <s v="P001"/>
    <s v="Choco Pie Popstick"/>
    <s v="Snacks"/>
    <n v="12"/>
    <n v="74"/>
    <n v="5"/>
    <n v="843.6"/>
    <s v="Pune"/>
    <s v="May"/>
    <n v="336"/>
  </r>
  <r>
    <s v="O0434"/>
    <s v="2025-03-02"/>
    <s v="Arjun"/>
    <s v="P031"/>
    <s v="Honey Almond Chocolate"/>
    <s v="Cookies"/>
    <n v="5"/>
    <n v="119"/>
    <n v="5"/>
    <n v="565.25"/>
    <s v="Chennai"/>
    <s v="Mar"/>
    <n v="235"/>
  </r>
  <r>
    <s v="O0435"/>
    <s v="2025-01-01"/>
    <s v="Anjali"/>
    <s v="P037"/>
    <s v="Golden Caramel Bites"/>
    <s v="Snacks"/>
    <n v="4"/>
    <n v="160"/>
    <n v="0"/>
    <n v="640"/>
    <s v="Mumbai"/>
    <s v="Jan"/>
    <n v="220"/>
  </r>
  <r>
    <s v="O0436"/>
    <s v="2025-04-27"/>
    <s v="Rohan"/>
    <s v="P021"/>
    <s v="Orange Zest Chocolate"/>
    <s v="Premium"/>
    <n v="4"/>
    <n v="65"/>
    <n v="0"/>
    <n v="260"/>
    <s v="Mumbai"/>
    <s v="Apr"/>
    <n v="88"/>
  </r>
  <r>
    <s v="O0437"/>
    <s v="2025-04-21"/>
    <s v="Rahul"/>
    <s v="P017"/>
    <s v="Kesar Milk Chocolate"/>
    <s v="Cookies"/>
    <n v="13"/>
    <n v="151"/>
    <n v="15"/>
    <n v="1668.55"/>
    <s v="Chennai"/>
    <s v="Apr"/>
    <n v="689"/>
  </r>
  <r>
    <s v="O0438"/>
    <s v="2025-04-12"/>
    <s v="Kiran"/>
    <s v="P016"/>
    <s v="Nutella Filled Bites"/>
    <s v="Cookies"/>
    <n v="3"/>
    <n v="89"/>
    <n v="5"/>
    <n v="253.65"/>
    <s v="Delhi"/>
    <s v="Apr"/>
    <n v="195"/>
  </r>
  <r>
    <s v="O0439"/>
    <s v="2025-06-02"/>
    <s v="Pooja"/>
    <s v="P018"/>
    <s v="Fruit &amp; Nut Chocolate"/>
    <s v="Snacks"/>
    <n v="11"/>
    <n v="156"/>
    <n v="5"/>
    <n v="1630.2"/>
    <s v="Mumbai"/>
    <s v="Jun"/>
    <n v="693"/>
  </r>
  <r>
    <s v="O0440"/>
    <s v="2025-01-02"/>
    <s v="Rohan"/>
    <s v="P013"/>
    <s v="Pistachio Fusion Chocolate"/>
    <s v="Cookies"/>
    <n v="10"/>
    <n v="143"/>
    <n v="0"/>
    <n v="1430"/>
    <s v="Bangalore"/>
    <s v="Jan"/>
    <n v="420"/>
  </r>
  <r>
    <s v="O0441"/>
    <s v="2025-04-14"/>
    <s v="Rahul"/>
    <s v="P035"/>
    <s v="Velvet Truffle Bites"/>
    <s v="Cookies"/>
    <n v="4"/>
    <n v="199"/>
    <n v="15"/>
    <n v="676.6"/>
    <s v="Delhi"/>
    <s v="Apr"/>
    <n v="372"/>
  </r>
  <r>
    <s v="O0442"/>
    <s v="2025-05-01"/>
    <s v="Meera"/>
    <s v="P029"/>
    <s v="Choco Lava Bites"/>
    <s v="Snacks"/>
    <n v="15"/>
    <n v="100"/>
    <n v="10"/>
    <n v="1350"/>
    <s v="Pune"/>
    <s v="May"/>
    <n v="330"/>
  </r>
  <r>
    <s v="O0443"/>
    <s v="2025-04-27"/>
    <s v="Meera"/>
    <s v="P030"/>
    <s v="Royal Dryfruit Mix"/>
    <s v="Cookies"/>
    <n v="13"/>
    <n v="135"/>
    <n v="0"/>
    <n v="1755"/>
    <s v="Chennai"/>
    <s v="Apr"/>
    <n v="1040"/>
  </r>
  <r>
    <s v="O0444"/>
    <s v="2025-04-21"/>
    <s v="Meera"/>
    <s v="P015"/>
    <s v="Caramel Crunch Cubes"/>
    <s v="Festive"/>
    <n v="2"/>
    <n v="158"/>
    <n v="15"/>
    <n v="268.60000000000002"/>
    <s v="Pune"/>
    <s v="Apr"/>
    <n v="190"/>
  </r>
  <r>
    <s v="O0445"/>
    <s v="2025-03-25"/>
    <s v="Anjali"/>
    <s v="P025"/>
    <s v="Berry Blast Chocolate"/>
    <s v="Festive"/>
    <n v="1"/>
    <n v="168"/>
    <n v="5"/>
    <n v="159.6"/>
    <s v="Pune"/>
    <s v="Mar"/>
    <n v="55"/>
  </r>
  <r>
    <s v="O0446"/>
    <s v="2025-06-12"/>
    <s v="Rahul"/>
    <s v="P017"/>
    <s v="Kesar Milk Chocolate"/>
    <s v="Cookies"/>
    <n v="2"/>
    <n v="151"/>
    <n v="10"/>
    <n v="271.8"/>
    <s v="Mumbai"/>
    <s v="Jun"/>
    <n v="106"/>
  </r>
  <r>
    <s v="O0447"/>
    <s v="2025-01-16"/>
    <s v="Kiran"/>
    <s v="P030"/>
    <s v="Royal Dryfruit Mix"/>
    <s v="Cookies"/>
    <n v="4"/>
    <n v="135"/>
    <n v="5"/>
    <n v="513"/>
    <s v="Bangalore"/>
    <s v="Jan"/>
    <n v="320"/>
  </r>
  <r>
    <s v="O0448"/>
    <s v="2025-05-17"/>
    <s v="Neha"/>
    <s v="P023"/>
    <s v="Coconut Delight Bar"/>
    <s v="Snacks"/>
    <n v="11"/>
    <n v="37"/>
    <n v="0"/>
    <n v="407"/>
    <s v="Pune"/>
    <s v="May"/>
    <n v="286"/>
  </r>
  <r>
    <s v="O0449"/>
    <s v="2025-01-05"/>
    <s v="Neha"/>
    <s v="P029"/>
    <s v="Choco Lava Bites"/>
    <s v="Snacks"/>
    <n v="8"/>
    <n v="100"/>
    <n v="10"/>
    <n v="720"/>
    <s v="Pune"/>
    <s v="Jan"/>
    <n v="176"/>
  </r>
  <r>
    <s v="O0450"/>
    <s v="2025-01-26"/>
    <s v="Rohan"/>
    <s v="P030"/>
    <s v="Royal Dryfruit Mix"/>
    <s v="Cookies"/>
    <n v="1"/>
    <n v="135"/>
    <n v="15"/>
    <n v="114.75"/>
    <s v="Delhi"/>
    <s v="Jan"/>
    <n v="80"/>
  </r>
  <r>
    <s v="O0451"/>
    <s v="2025-03-25"/>
    <s v="Vikas"/>
    <s v="P012"/>
    <s v="Cashew Delight Bites"/>
    <s v="Cookies"/>
    <n v="6"/>
    <n v="98"/>
    <n v="0"/>
    <n v="588"/>
    <s v="Pune"/>
    <s v="Mar"/>
    <n v="132"/>
  </r>
  <r>
    <s v="O0452"/>
    <s v="2025-01-17"/>
    <s v="Meera"/>
    <s v="P036"/>
    <s v="Classic Dark Chocolate"/>
    <s v="Cookies"/>
    <n v="4"/>
    <n v="139"/>
    <n v="10"/>
    <n v="500.4"/>
    <s v="Mumbai"/>
    <s v="Jan"/>
    <n v="280"/>
  </r>
  <r>
    <s v="O0453"/>
    <s v="2025-03-19"/>
    <s v="Anjali"/>
    <s v="P015"/>
    <s v="Caramel Crunch Cubes"/>
    <s v="Festive"/>
    <n v="14"/>
    <n v="158"/>
    <n v="0"/>
    <n v="2212"/>
    <s v="Bangalore"/>
    <s v="Mar"/>
    <n v="1330"/>
  </r>
  <r>
    <s v="O0454"/>
    <s v="2025-01-04"/>
    <s v="Meera"/>
    <s v="P031"/>
    <s v="Honey Almond Chocolate"/>
    <s v="Cookies"/>
    <n v="2"/>
    <n v="119"/>
    <n v="5"/>
    <n v="226.1"/>
    <s v="Mumbai"/>
    <s v="Jan"/>
    <n v="94"/>
  </r>
  <r>
    <s v="O0455"/>
    <s v="2025-02-22"/>
    <s v="Anjali"/>
    <s v="P026"/>
    <s v="Silk Ganache Cubes"/>
    <s v="Festive"/>
    <n v="10"/>
    <n v="82"/>
    <n v="5"/>
    <n v="779"/>
    <s v="Bangalore"/>
    <s v="Feb"/>
    <n v="400"/>
  </r>
  <r>
    <s v="O0456"/>
    <s v="2025-04-20"/>
    <s v="Pooja"/>
    <s v="P012"/>
    <s v="Cashew Delight Bites"/>
    <s v="Cookies"/>
    <n v="10"/>
    <n v="98"/>
    <n v="5"/>
    <n v="931"/>
    <s v="Bangalore"/>
    <s v="Apr"/>
    <n v="220"/>
  </r>
  <r>
    <s v="O0457"/>
    <s v="2025-02-03"/>
    <s v="Anjali"/>
    <s v="P009"/>
    <s v="Rose Pista Chocolate"/>
    <s v="Festive"/>
    <n v="13"/>
    <n v="96"/>
    <n v="10"/>
    <n v="1123.2"/>
    <s v="Chennai"/>
    <s v="Feb"/>
    <n v="312"/>
  </r>
  <r>
    <s v="O0458"/>
    <s v="2025-04-12"/>
    <s v="Vikas"/>
    <s v="P003"/>
    <s v="Choco Crunch Cone"/>
    <s v="Bars"/>
    <n v="15"/>
    <n v="86"/>
    <n v="15"/>
    <n v="1096.5"/>
    <s v="Hyderabad"/>
    <s v="Apr"/>
    <n v="300"/>
  </r>
  <r>
    <s v="O0459"/>
    <s v="2025-01-03"/>
    <s v="Pooja"/>
    <s v="P022"/>
    <s v="Mint Choco Squares"/>
    <s v="Festive"/>
    <n v="12"/>
    <n v="147"/>
    <n v="10"/>
    <n v="1587.6"/>
    <s v="Bangalore"/>
    <s v="Jan"/>
    <n v="1032"/>
  </r>
  <r>
    <s v="O0460"/>
    <s v="2025-03-29"/>
    <s v="Pooja"/>
    <s v="P005"/>
    <s v="Choco Dip Cookie"/>
    <s v="Premium"/>
    <n v="14"/>
    <n v="98"/>
    <n v="5"/>
    <n v="1303.4000000000001"/>
    <s v="Hyderabad"/>
    <s v="Mar"/>
    <n v="812"/>
  </r>
  <r>
    <s v="O0461"/>
    <s v="2025-05-24"/>
    <s v="Priya"/>
    <s v="P038"/>
    <s v="Choco Biscuit Pops"/>
    <s v="Premium"/>
    <n v="3"/>
    <n v="113"/>
    <n v="15"/>
    <n v="288.14999999999998"/>
    <s v="Chennai"/>
    <s v="May"/>
    <n v="150"/>
  </r>
  <r>
    <s v="O0462"/>
    <s v="2025-06-03"/>
    <s v="Rohan"/>
    <s v="P023"/>
    <s v="Coconut Delight Bar"/>
    <s v="Snacks"/>
    <n v="5"/>
    <n v="37"/>
    <n v="0"/>
    <n v="185"/>
    <s v="Bangalore"/>
    <s v="Jun"/>
    <n v="130"/>
  </r>
  <r>
    <s v="O0463"/>
    <s v="2025-03-04"/>
    <s v="Vikas"/>
    <s v="P014"/>
    <s v="Dark Fantasy Squares"/>
    <s v="Snacks"/>
    <n v="5"/>
    <n v="96"/>
    <n v="5"/>
    <n v="456"/>
    <s v="Delhi"/>
    <s v="Mar"/>
    <n v="380"/>
  </r>
  <r>
    <s v="O0464"/>
    <s v="2025-05-04"/>
    <s v="Sneha"/>
    <s v="P037"/>
    <s v="Golden Caramel Bites"/>
    <s v="Snacks"/>
    <n v="15"/>
    <n v="160"/>
    <n v="5"/>
    <n v="2280"/>
    <s v="Pune"/>
    <s v="May"/>
    <n v="825"/>
  </r>
  <r>
    <s v="O0465"/>
    <s v="2025-06-24"/>
    <s v="Amit"/>
    <s v="P038"/>
    <s v="Choco Biscuit Pops"/>
    <s v="Premium"/>
    <n v="4"/>
    <n v="113"/>
    <n v="15"/>
    <n v="384.2"/>
    <s v="Chennai"/>
    <s v="Jun"/>
    <n v="200"/>
  </r>
  <r>
    <s v="O0466"/>
    <s v="2025-03-18"/>
    <s v="Arjun"/>
    <s v="P039"/>
    <s v="Luxury Praline Box"/>
    <s v="Festive"/>
    <n v="8"/>
    <n v="181"/>
    <n v="5"/>
    <n v="1375.6"/>
    <s v="Delhi"/>
    <s v="Mar"/>
    <n v="504"/>
  </r>
  <r>
    <s v="O0467"/>
    <s v="2025-03-06"/>
    <s v="Priya"/>
    <s v="P012"/>
    <s v="Cashew Delight Bites"/>
    <s v="Cookies"/>
    <n v="5"/>
    <n v="98"/>
    <n v="15"/>
    <n v="416.5"/>
    <s v="Hyderabad"/>
    <s v="Mar"/>
    <n v="110"/>
  </r>
  <r>
    <s v="O0468"/>
    <s v="2025-01-01"/>
    <s v="Rohan"/>
    <s v="P017"/>
    <s v="Kesar Milk Chocolate"/>
    <s v="Cookies"/>
    <n v="9"/>
    <n v="151"/>
    <n v="15"/>
    <n v="1155.1500000000001"/>
    <s v="Bangalore"/>
    <s v="Jan"/>
    <n v="477"/>
  </r>
  <r>
    <s v="O0469"/>
    <s v="2025-05-13"/>
    <s v="Rohan"/>
    <s v="P019"/>
    <s v="White Chocolate Truffle"/>
    <s v="Bars"/>
    <n v="10"/>
    <n v="95"/>
    <n v="10"/>
    <n v="855"/>
    <s v="Bangalore"/>
    <s v="May"/>
    <n v="740"/>
  </r>
  <r>
    <s v="O0470"/>
    <s v="2025-06-05"/>
    <s v="Priya"/>
    <s v="P021"/>
    <s v="Orange Zest Chocolate"/>
    <s v="Premium"/>
    <n v="3"/>
    <n v="65"/>
    <n v="15"/>
    <n v="165.75"/>
    <s v="Delhi"/>
    <s v="Jun"/>
    <n v="66"/>
  </r>
  <r>
    <s v="O0471"/>
    <s v="2025-05-23"/>
    <s v="Neha"/>
    <s v="P033"/>
    <s v="Milk Chocolate Coins"/>
    <s v="Cookies"/>
    <n v="6"/>
    <n v="52"/>
    <n v="10"/>
    <n v="280.8"/>
    <s v="Delhi"/>
    <s v="May"/>
    <n v="234"/>
  </r>
  <r>
    <s v="O0472"/>
    <s v="2025-05-29"/>
    <s v="Anjali"/>
    <s v="P023"/>
    <s v="Coconut Delight Bar"/>
    <s v="Snacks"/>
    <n v="1"/>
    <n v="37"/>
    <n v="5"/>
    <n v="35.15"/>
    <s v="Delhi"/>
    <s v="May"/>
    <n v="26"/>
  </r>
  <r>
    <s v="O0473"/>
    <s v="2025-06-22"/>
    <s v="Meera"/>
    <s v="P034"/>
    <s v="Signature Cocoa Bars"/>
    <s v="Cookies"/>
    <n v="5"/>
    <n v="154"/>
    <n v="0"/>
    <n v="770"/>
    <s v="Chennai"/>
    <s v="Jun"/>
    <n v="290"/>
  </r>
  <r>
    <s v="O0474"/>
    <s v="2025-01-27"/>
    <s v="Amit"/>
    <s v="P039"/>
    <s v="Luxury Praline Box"/>
    <s v="Festive"/>
    <n v="14"/>
    <n v="181"/>
    <n v="15"/>
    <n v="2153.9"/>
    <s v="Mumbai"/>
    <s v="Jan"/>
    <n v="882"/>
  </r>
  <r>
    <s v="O0475"/>
    <s v="2025-05-10"/>
    <s v="Anjali"/>
    <s v="P017"/>
    <s v="Kesar Milk Chocolate"/>
    <s v="Cookies"/>
    <n v="3"/>
    <n v="151"/>
    <n v="0"/>
    <n v="453"/>
    <s v="Delhi"/>
    <s v="May"/>
    <n v="159"/>
  </r>
  <r>
    <s v="O0476"/>
    <s v="2025-03-12"/>
    <s v="Pooja"/>
    <s v="P018"/>
    <s v="Fruit &amp; Nut Chocolate"/>
    <s v="Snacks"/>
    <n v="7"/>
    <n v="156"/>
    <n v="5"/>
    <n v="1037.4000000000001"/>
    <s v="Bangalore"/>
    <s v="Mar"/>
    <n v="441"/>
  </r>
  <r>
    <s v="O0477"/>
    <s v="2025-02-28"/>
    <s v="Priya"/>
    <s v="P035"/>
    <s v="Velvet Truffle Bites"/>
    <s v="Cookies"/>
    <n v="4"/>
    <n v="199"/>
    <n v="10"/>
    <n v="716.4"/>
    <s v="Pune"/>
    <s v="Feb"/>
    <n v="372"/>
  </r>
  <r>
    <s v="O0478"/>
    <s v="2025-03-18"/>
    <s v="Amit"/>
    <s v="P004"/>
    <s v="Duo Choco Bites"/>
    <s v="Bars"/>
    <n v="3"/>
    <n v="99"/>
    <n v="0"/>
    <n v="297"/>
    <s v="Chennai"/>
    <s v="Mar"/>
    <n v="72"/>
  </r>
  <r>
    <s v="O0479"/>
    <s v="2025-01-12"/>
    <s v="Rohan"/>
    <s v="P040"/>
    <s v="Festive Chocolate Pack"/>
    <s v="Festive"/>
    <n v="1"/>
    <n v="145"/>
    <n v="5"/>
    <n v="137.75"/>
    <s v="Bangalore"/>
    <s v="Jan"/>
    <n v="82"/>
  </r>
  <r>
    <s v="O0480"/>
    <s v="2025-03-11"/>
    <s v="Sneha"/>
    <s v="P037"/>
    <s v="Golden Caramel Bites"/>
    <s v="Snacks"/>
    <n v="14"/>
    <n v="160"/>
    <n v="10"/>
    <n v="2016"/>
    <s v="Chennai"/>
    <s v="Mar"/>
    <n v="770"/>
  </r>
  <r>
    <s v="O0481"/>
    <s v="2025-03-07"/>
    <s v="Anjali"/>
    <s v="P033"/>
    <s v="Milk Chocolate Coins"/>
    <s v="Cookies"/>
    <n v="6"/>
    <n v="52"/>
    <n v="15"/>
    <n v="265.2"/>
    <s v="Chennai"/>
    <s v="Mar"/>
    <n v="234"/>
  </r>
  <r>
    <s v="O0482"/>
    <s v="2025-04-13"/>
    <s v="Pooja"/>
    <s v="P002"/>
    <s v="Kunafa Bites"/>
    <s v="Premium"/>
    <n v="1"/>
    <n v="146"/>
    <n v="5"/>
    <n v="138.69999999999999"/>
    <s v="Bangalore"/>
    <s v="Apr"/>
    <n v="50"/>
  </r>
  <r>
    <s v="O0483"/>
    <s v="2025-04-19"/>
    <s v="Sneha"/>
    <s v="P011"/>
    <s v="Almond Crunch Bar"/>
    <s v="Bars"/>
    <n v="1"/>
    <n v="90"/>
    <n v="15"/>
    <n v="76.5"/>
    <s v="Mumbai"/>
    <s v="Apr"/>
    <n v="31"/>
  </r>
  <r>
    <s v="O0484"/>
    <s v="2025-01-13"/>
    <s v="Rohan"/>
    <s v="P036"/>
    <s v="Classic Dark Chocolate"/>
    <s v="Cookies"/>
    <n v="12"/>
    <n v="139"/>
    <n v="10"/>
    <n v="1501.2"/>
    <s v="Bangalore"/>
    <s v="Jan"/>
    <n v="840"/>
  </r>
  <r>
    <s v="O0485"/>
    <s v="2025-04-14"/>
    <s v="Sneha"/>
    <s v="P027"/>
    <s v="Premium Cocoa Slabs"/>
    <s v="Bars"/>
    <n v="4"/>
    <n v="135"/>
    <n v="15"/>
    <n v="459"/>
    <s v="Bangalore"/>
    <s v="Apr"/>
    <n v="172"/>
  </r>
  <r>
    <s v="O0486"/>
    <s v="2025-03-08"/>
    <s v="Amit"/>
    <s v="P012"/>
    <s v="Cashew Delight Bites"/>
    <s v="Cookies"/>
    <n v="7"/>
    <n v="98"/>
    <n v="10"/>
    <n v="617.4"/>
    <s v="Mumbai"/>
    <s v="Mar"/>
    <n v="154"/>
  </r>
  <r>
    <s v="O0487"/>
    <s v="2025-04-08"/>
    <s v="Amit"/>
    <s v="P007"/>
    <s v="Choco Aura Custom Bar"/>
    <s v="Premium"/>
    <n v="5"/>
    <n v="128"/>
    <n v="10"/>
    <n v="576"/>
    <s v="Delhi"/>
    <s v="Apr"/>
    <n v="265"/>
  </r>
  <r>
    <s v="O0488"/>
    <s v="2025-03-24"/>
    <s v="Sneha"/>
    <s v="P015"/>
    <s v="Caramel Crunch Cubes"/>
    <s v="Festive"/>
    <n v="14"/>
    <n v="158"/>
    <n v="10"/>
    <n v="1990.8"/>
    <s v="Delhi"/>
    <s v="Mar"/>
    <n v="1330"/>
  </r>
  <r>
    <s v="O0489"/>
    <s v="2025-01-08"/>
    <s v="Amit"/>
    <s v="P038"/>
    <s v="Choco Biscuit Pops"/>
    <s v="Premium"/>
    <n v="15"/>
    <n v="113"/>
    <n v="15"/>
    <n v="1440.75"/>
    <s v="Pune"/>
    <s v="Jan"/>
    <n v="750"/>
  </r>
  <r>
    <s v="O0490"/>
    <s v="2025-03-27"/>
    <s v="Meera"/>
    <s v="P037"/>
    <s v="Golden Caramel Bites"/>
    <s v="Snacks"/>
    <n v="4"/>
    <n v="160"/>
    <n v="10"/>
    <n v="576"/>
    <s v="Bangalore"/>
    <s v="Mar"/>
    <n v="220"/>
  </r>
  <r>
    <s v="O0491"/>
    <s v="2025-04-22"/>
    <s v="Neha"/>
    <s v="P014"/>
    <s v="Dark Fantasy Squares"/>
    <s v="Snacks"/>
    <n v="14"/>
    <n v="96"/>
    <n v="0"/>
    <n v="1344"/>
    <s v="Hyderabad"/>
    <s v="Apr"/>
    <n v="1064"/>
  </r>
  <r>
    <s v="O0492"/>
    <s v="2025-04-17"/>
    <s v="Rohan"/>
    <s v="P031"/>
    <s v="Honey Almond Chocolate"/>
    <s v="Cookies"/>
    <n v="4"/>
    <n v="119"/>
    <n v="0"/>
    <n v="476"/>
    <s v="Pune"/>
    <s v="Apr"/>
    <n v="188"/>
  </r>
  <r>
    <s v="O0493"/>
    <s v="2025-02-12"/>
    <s v="Arjun"/>
    <s v="P019"/>
    <s v="White Chocolate Truffle"/>
    <s v="Bars"/>
    <n v="7"/>
    <n v="95"/>
    <n v="5"/>
    <n v="631.75"/>
    <s v="Delhi"/>
    <s v="Feb"/>
    <n v="518"/>
  </r>
  <r>
    <s v="O0494"/>
    <s v="2025-03-24"/>
    <s v="Vikas"/>
    <s v="P024"/>
    <s v="Crunchy Wafer Chocolate"/>
    <s v="Bars"/>
    <n v="15"/>
    <n v="144"/>
    <n v="0"/>
    <n v="2160"/>
    <s v="Pune"/>
    <s v="Mar"/>
    <n v="840"/>
  </r>
  <r>
    <s v="O0495"/>
    <s v="2025-06-08"/>
    <s v="Vikas"/>
    <s v="P022"/>
    <s v="Mint Choco Squares"/>
    <s v="Festive"/>
    <n v="2"/>
    <n v="147"/>
    <n v="5"/>
    <n v="279.3"/>
    <s v="Hyderabad"/>
    <s v="Jun"/>
    <n v="172"/>
  </r>
  <r>
    <s v="O0496"/>
    <s v="2025-01-05"/>
    <s v="Priya"/>
    <s v="P003"/>
    <s v="Choco Crunch Cone"/>
    <s v="Bars"/>
    <n v="11"/>
    <n v="86"/>
    <n v="0"/>
    <n v="946"/>
    <s v="Bangalore"/>
    <s v="Jan"/>
    <n v="220"/>
  </r>
  <r>
    <s v="O0497"/>
    <s v="2025-03-03"/>
    <s v="Vikas"/>
    <s v="P006"/>
    <s v="Love Loaded Chocolate Bar"/>
    <s v="Festive"/>
    <n v="6"/>
    <n v="140"/>
    <n v="15"/>
    <n v="714"/>
    <s v="Pune"/>
    <s v="Mar"/>
    <n v="588"/>
  </r>
  <r>
    <s v="O0498"/>
    <s v="2025-04-26"/>
    <s v="Vikas"/>
    <s v="P018"/>
    <s v="Fruit &amp; Nut Chocolate"/>
    <s v="Snacks"/>
    <n v="7"/>
    <n v="156"/>
    <n v="5"/>
    <n v="1037.4000000000001"/>
    <s v="Hyderabad"/>
    <s v="Apr"/>
    <n v="441"/>
  </r>
  <r>
    <s v="O0499"/>
    <s v="2025-02-21"/>
    <s v="Arjun"/>
    <s v="P019"/>
    <s v="White Chocolate Truffle"/>
    <s v="Bars"/>
    <n v="1"/>
    <n v="95"/>
    <n v="15"/>
    <n v="80.75"/>
    <s v="Chennai"/>
    <s v="Feb"/>
    <n v="74"/>
  </r>
  <r>
    <s v="O0500"/>
    <s v="2025-04-18"/>
    <s v="Kiran"/>
    <s v="P033"/>
    <s v="Milk Chocolate Coins"/>
    <s v="Cookies"/>
    <n v="10"/>
    <n v="52"/>
    <n v="0"/>
    <n v="520"/>
    <s v="Bangalore"/>
    <s v="Apr"/>
    <n v="390"/>
  </r>
  <r>
    <m/>
    <m/>
    <m/>
    <m/>
    <m/>
    <m/>
    <m/>
    <m/>
    <m/>
    <m/>
    <m/>
    <m/>
    <m/>
  </r>
  <r>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006"/>
    <s v="Love Loaded Chocolate Bar"/>
    <s v="Festive"/>
    <n v="172"/>
    <n v="29"/>
    <n v="144"/>
    <n v="57"/>
    <n v="42"/>
    <s v="Sweet Supplies"/>
    <n v="2394"/>
  </r>
  <r>
    <s v="P029"/>
    <s v="Choco Lava Bites"/>
    <s v="Snacks"/>
    <n v="177"/>
    <n v="96"/>
    <n v="77"/>
    <n v="196"/>
    <n v="78"/>
    <s v="Global Cocoa"/>
    <n v="15288"/>
  </r>
  <r>
    <s v="P014"/>
    <s v="Dark Fantasy Squares"/>
    <s v="Snacks"/>
    <n v="180"/>
    <n v="130"/>
    <n v="165"/>
    <n v="145"/>
    <n v="20"/>
    <s v="Choco World"/>
    <n v="2900"/>
  </r>
  <r>
    <s v="P038"/>
    <s v="Choco Biscuit Pops"/>
    <s v="Premium"/>
    <n v="112"/>
    <n v="126"/>
    <n v="74"/>
    <n v="164"/>
    <n v="63"/>
    <s v="Global Cocoa"/>
    <n v="10332"/>
  </r>
  <r>
    <s v="P003"/>
    <s v="Choco Crunch Cone"/>
    <s v="Bars"/>
    <n v="167"/>
    <n v="69"/>
    <n v="179"/>
    <n v="57"/>
    <n v="66"/>
    <s v="Choco World"/>
    <n v="3762"/>
  </r>
  <r>
    <s v="P038"/>
    <s v="Choco Biscuit Pops"/>
    <s v="Premium"/>
    <n v="190"/>
    <n v="107"/>
    <n v="167"/>
    <n v="130"/>
    <n v="63"/>
    <s v="Global Cocoa"/>
    <n v="8190"/>
  </r>
  <r>
    <s v="P006"/>
    <s v="Love Loaded Chocolate Bar"/>
    <s v="Festive"/>
    <n v="112"/>
    <n v="55"/>
    <n v="74"/>
    <n v="93"/>
    <n v="42"/>
    <s v="ABC Traders"/>
    <n v="3906"/>
  </r>
  <r>
    <s v="P014"/>
    <s v="Dark Fantasy Squares"/>
    <s v="Snacks"/>
    <n v="199"/>
    <n v="103"/>
    <n v="93"/>
    <n v="209"/>
    <n v="20"/>
    <s v="ABC Traders"/>
    <n v="4180"/>
  </r>
  <r>
    <s v="P029"/>
    <s v="Choco Lava Bites"/>
    <s v="Snacks"/>
    <n v="50"/>
    <n v="32"/>
    <n v="128"/>
    <n v="-46"/>
    <n v="78"/>
    <s v="ABC Traders"/>
    <n v="-3588"/>
  </r>
  <r>
    <s v="P032"/>
    <s v="Choco Fudge Squares"/>
    <s v="Premium"/>
    <n v="104"/>
    <n v="134"/>
    <n v="62"/>
    <n v="176"/>
    <n v="85"/>
    <s v="Global Cocoa"/>
    <n v="14960"/>
  </r>
  <r>
    <s v="P040"/>
    <s v="Festive Chocolate Pack"/>
    <s v="Festive"/>
    <n v="144"/>
    <n v="137"/>
    <n v="125"/>
    <n v="156"/>
    <n v="63"/>
    <s v="ABC Traders"/>
    <n v="9828"/>
  </r>
  <r>
    <s v="P037"/>
    <s v="Golden Caramel Bites"/>
    <s v="Snacks"/>
    <n v="171"/>
    <n v="63"/>
    <n v="69"/>
    <n v="165"/>
    <n v="105"/>
    <s v="ABC Traders"/>
    <n v="17325"/>
  </r>
  <r>
    <s v="P027"/>
    <s v="Premium Cocoa Slabs"/>
    <s v="Bars"/>
    <n v="67"/>
    <n v="101"/>
    <n v="77"/>
    <n v="91"/>
    <n v="92"/>
    <s v="Premium Foods"/>
    <n v="8372"/>
  </r>
  <r>
    <s v="P014"/>
    <s v="Dark Fantasy Squares"/>
    <s v="Snacks"/>
    <n v="126"/>
    <n v="115"/>
    <n v="96"/>
    <n v="145"/>
    <n v="20"/>
    <s v="Sweet Supplies"/>
    <n v="2900"/>
  </r>
  <r>
    <s v="P033"/>
    <s v="Milk Chocolate Coins"/>
    <s v="Cookies"/>
    <n v="114"/>
    <n v="39"/>
    <n v="44"/>
    <n v="109"/>
    <n v="13"/>
    <s v="ABC Traders"/>
    <n v="1417"/>
  </r>
  <r>
    <s v="P010"/>
    <s v="Dry Fruit Special Chocolate"/>
    <s v="Bars"/>
    <n v="95"/>
    <n v="114"/>
    <n v="98"/>
    <n v="111"/>
    <n v="94"/>
    <s v="Choco World"/>
    <n v="10434"/>
  </r>
  <r>
    <s v="P005"/>
    <s v="Choco Dip Cookie"/>
    <s v="Premium"/>
    <n v="153"/>
    <n v="145"/>
    <n v="117"/>
    <n v="181"/>
    <n v="40"/>
    <s v="Choco World"/>
    <n v="7240"/>
  </r>
  <r>
    <s v="P028"/>
    <s v="Butterscotch Crunch Bar"/>
    <s v="Bars"/>
    <n v="176"/>
    <n v="21"/>
    <n v="127"/>
    <n v="70"/>
    <n v="54"/>
    <s v="Sweet Supplies"/>
    <n v="3780"/>
  </r>
  <r>
    <s v="P008"/>
    <s v="Hazelnut Praline Chocolate"/>
    <s v="Premium"/>
    <n v="141"/>
    <n v="109"/>
    <n v="137"/>
    <n v="113"/>
    <n v="46"/>
    <s v="Sweet Supplies"/>
    <n v="5198"/>
  </r>
  <r>
    <s v="P012"/>
    <s v="Cashew Delight Bites"/>
    <s v="Cookies"/>
    <n v="136"/>
    <n v="85"/>
    <n v="168"/>
    <n v="53"/>
    <n v="76"/>
    <s v="Premium Foods"/>
    <n v="4028"/>
  </r>
  <r>
    <s v="P035"/>
    <s v="Velvet Truffle Bites"/>
    <s v="Cookies"/>
    <n v="50"/>
    <n v="77"/>
    <n v="70"/>
    <n v="57"/>
    <n v="106"/>
    <s v="Sweet Supplies"/>
    <n v="6042"/>
  </r>
  <r>
    <s v="P033"/>
    <s v="Milk Chocolate Coins"/>
    <s v="Cookies"/>
    <n v="125"/>
    <n v="46"/>
    <n v="79"/>
    <n v="92"/>
    <n v="13"/>
    <s v="Choco World"/>
    <n v="1196"/>
  </r>
  <r>
    <s v="P002"/>
    <s v="Kunafa Bites"/>
    <s v="Premium"/>
    <n v="121"/>
    <n v="24"/>
    <n v="176"/>
    <n v="-31"/>
    <n v="96"/>
    <s v="ABC Traders"/>
    <n v="-2976"/>
  </r>
  <r>
    <s v="P028"/>
    <s v="Butterscotch Crunch Bar"/>
    <s v="Bars"/>
    <n v="111"/>
    <n v="110"/>
    <n v="131"/>
    <n v="90"/>
    <n v="54"/>
    <s v="Premium Foods"/>
    <n v="4860"/>
  </r>
  <r>
    <s v="P028"/>
    <s v="Butterscotch Crunch Bar"/>
    <s v="Bars"/>
    <n v="171"/>
    <n v="36"/>
    <n v="52"/>
    <n v="155"/>
    <n v="54"/>
    <s v="Premium Foods"/>
    <n v="8370"/>
  </r>
  <r>
    <s v="P039"/>
    <s v="Luxury Praline Box"/>
    <s v="Festive"/>
    <n v="126"/>
    <n v="145"/>
    <n v="33"/>
    <n v="238"/>
    <n v="118"/>
    <s v="Global Cocoa"/>
    <n v="28084"/>
  </r>
  <r>
    <s v="P006"/>
    <s v="Love Loaded Chocolate Bar"/>
    <s v="Festive"/>
    <n v="111"/>
    <n v="117"/>
    <n v="60"/>
    <n v="168"/>
    <n v="42"/>
    <s v="Premium Foods"/>
    <n v="7056"/>
  </r>
  <r>
    <s v="P035"/>
    <s v="Velvet Truffle Bites"/>
    <s v="Cookies"/>
    <n v="181"/>
    <n v="108"/>
    <n v="31"/>
    <n v="258"/>
    <n v="106"/>
    <s v="Sweet Supplies"/>
    <n v="27348"/>
  </r>
  <r>
    <s v="P012"/>
    <s v="Cashew Delight Bites"/>
    <s v="Cookies"/>
    <n v="163"/>
    <n v="105"/>
    <n v="88"/>
    <n v="180"/>
    <n v="76"/>
    <s v="Sweet Supplies"/>
    <n v="13680"/>
  </r>
  <r>
    <s v="P028"/>
    <s v="Butterscotch Crunch Bar"/>
    <s v="Bars"/>
    <n v="181"/>
    <n v="116"/>
    <n v="140"/>
    <n v="157"/>
    <n v="54"/>
    <s v="Global Cocoa"/>
    <n v="8478"/>
  </r>
  <r>
    <s v="P031"/>
    <s v="Honey Almond Chocolate"/>
    <s v="Cookies"/>
    <n v="150"/>
    <n v="124"/>
    <n v="114"/>
    <n v="160"/>
    <n v="72"/>
    <s v="Choco World"/>
    <n v="11520"/>
  </r>
  <r>
    <s v="P020"/>
    <s v="Coffee Mocha Bites"/>
    <s v="Snacks"/>
    <n v="109"/>
    <n v="65"/>
    <n v="46"/>
    <n v="128"/>
    <n v="10"/>
    <s v="Sweet Supplies"/>
    <n v="1280"/>
  </r>
  <r>
    <s v="P003"/>
    <s v="Choco Crunch Cone"/>
    <s v="Bars"/>
    <n v="178"/>
    <n v="23"/>
    <n v="102"/>
    <n v="99"/>
    <n v="66"/>
    <s v="Sweet Supplies"/>
    <n v="6534"/>
  </r>
  <r>
    <s v="P030"/>
    <s v="Royal Dryfruit Mix"/>
    <s v="Cookies"/>
    <n v="142"/>
    <n v="23"/>
    <n v="57"/>
    <n v="108"/>
    <n v="55"/>
    <s v="Premium Foods"/>
    <n v="5940"/>
  </r>
  <r>
    <s v="P032"/>
    <s v="Choco Fudge Squares"/>
    <s v="Premium"/>
    <n v="181"/>
    <n v="94"/>
    <n v="167"/>
    <n v="108"/>
    <n v="85"/>
    <s v="ABC Traders"/>
    <n v="9180"/>
  </r>
  <r>
    <s v="P017"/>
    <s v="Kesar Milk Chocolate"/>
    <s v="Cookies"/>
    <n v="160"/>
    <n v="42"/>
    <n v="36"/>
    <n v="166"/>
    <n v="98"/>
    <s v="Sweet Supplies"/>
    <n v="16268"/>
  </r>
  <r>
    <s v="P007"/>
    <s v="Choco Aura Custom Bar"/>
    <s v="Premium"/>
    <n v="153"/>
    <n v="33"/>
    <n v="125"/>
    <n v="61"/>
    <n v="75"/>
    <s v="Choco World"/>
    <n v="4575"/>
  </r>
  <r>
    <s v="P038"/>
    <s v="Choco Biscuit Pops"/>
    <s v="Premium"/>
    <n v="168"/>
    <n v="139"/>
    <n v="70"/>
    <n v="237"/>
    <n v="63"/>
    <s v="Sweet Supplies"/>
    <n v="14931"/>
  </r>
  <r>
    <s v="P036"/>
    <s v="Classic Dark Chocolate"/>
    <s v="Cookies"/>
    <n v="194"/>
    <n v="127"/>
    <n v="128"/>
    <n v="193"/>
    <n v="69"/>
    <s v="Choco World"/>
    <n v="13317"/>
  </r>
  <r>
    <s v="P037"/>
    <s v="Golden Caramel Bites"/>
    <s v="Snacks"/>
    <n v="146"/>
    <n v="46"/>
    <n v="180"/>
    <n v="12"/>
    <n v="105"/>
    <s v="Sweet Supplies"/>
    <n v="1260"/>
  </r>
  <r>
    <s v="P010"/>
    <s v="Dry Fruit Special Chocolate"/>
    <s v="Bars"/>
    <n v="134"/>
    <n v="146"/>
    <n v="148"/>
    <n v="132"/>
    <n v="94"/>
    <s v="Premium Foods"/>
    <n v="12408"/>
  </r>
  <r>
    <s v="P027"/>
    <s v="Premium Cocoa Slabs"/>
    <s v="Bars"/>
    <n v="128"/>
    <n v="71"/>
    <n v="75"/>
    <n v="124"/>
    <n v="92"/>
    <s v="ABC Traders"/>
    <n v="11408"/>
  </r>
  <r>
    <s v="P030"/>
    <s v="Royal Dryfruit Mix"/>
    <s v="Cookies"/>
    <n v="90"/>
    <n v="73"/>
    <n v="40"/>
    <n v="123"/>
    <n v="55"/>
    <s v="Choco World"/>
    <n v="6765"/>
  </r>
  <r>
    <s v="P002"/>
    <s v="Kunafa Bites"/>
    <s v="Premium"/>
    <n v="106"/>
    <n v="62"/>
    <n v="153"/>
    <n v="15"/>
    <n v="96"/>
    <s v="Choco World"/>
    <n v="1440"/>
  </r>
  <r>
    <s v="P021"/>
    <s v="Orange Zest Chocolate"/>
    <s v="Premium"/>
    <n v="86"/>
    <n v="73"/>
    <n v="136"/>
    <n v="23"/>
    <n v="43"/>
    <s v="Choco World"/>
    <n v="989"/>
  </r>
  <r>
    <s v="P007"/>
    <s v="Choco Aura Custom Bar"/>
    <s v="Premium"/>
    <n v="130"/>
    <n v="107"/>
    <n v="135"/>
    <n v="102"/>
    <n v="75"/>
    <s v="Premium Foods"/>
    <n v="7650"/>
  </r>
  <r>
    <s v="P007"/>
    <s v="Choco Aura Custom Bar"/>
    <s v="Premium"/>
    <n v="181"/>
    <n v="109"/>
    <n v="146"/>
    <n v="144"/>
    <n v="75"/>
    <s v="Choco World"/>
    <n v="10800"/>
  </r>
  <r>
    <s v="P023"/>
    <s v="Coconut Delight Bar"/>
    <s v="Snacks"/>
    <n v="179"/>
    <n v="114"/>
    <n v="48"/>
    <n v="245"/>
    <n v="11"/>
    <s v="Choco World"/>
    <n v="2695"/>
  </r>
  <r>
    <s v="P025"/>
    <s v="Berry Blast Chocolate"/>
    <s v="Festive"/>
    <n v="54"/>
    <n v="78"/>
    <n v="136"/>
    <n v="-4"/>
    <n v="113"/>
    <s v="Global Cocoa"/>
    <n v="-452"/>
  </r>
  <r>
    <s v="P001"/>
    <s v="Choco Pie Popstick"/>
    <s v="Snacks"/>
    <n v="105"/>
    <n v="95"/>
    <n v="145"/>
    <n v="55"/>
    <n v="46"/>
    <s v="Premium Foods"/>
    <n v="2530"/>
  </r>
  <r>
    <s v="P003"/>
    <s v="Choco Crunch Cone"/>
    <s v="Bars"/>
    <n v="98"/>
    <n v="32"/>
    <n v="117"/>
    <n v="13"/>
    <n v="66"/>
    <s v="Choco World"/>
    <n v="858"/>
  </r>
  <r>
    <s v="P008"/>
    <s v="Hazelnut Praline Chocolate"/>
    <s v="Premium"/>
    <n v="79"/>
    <n v="76"/>
    <n v="84"/>
    <n v="71"/>
    <n v="46"/>
    <s v="ABC Traders"/>
    <n v="3266"/>
  </r>
  <r>
    <s v="P003"/>
    <s v="Choco Crunch Cone"/>
    <s v="Bars"/>
    <n v="176"/>
    <n v="59"/>
    <n v="75"/>
    <n v="160"/>
    <n v="66"/>
    <s v="Premium Foods"/>
    <n v="10560"/>
  </r>
  <r>
    <s v="P006"/>
    <s v="Love Loaded Chocolate Bar"/>
    <s v="Festive"/>
    <n v="52"/>
    <n v="78"/>
    <n v="178"/>
    <n v="-48"/>
    <n v="42"/>
    <s v="Premium Foods"/>
    <n v="-2016"/>
  </r>
  <r>
    <s v="P022"/>
    <s v="Mint Choco Squares"/>
    <s v="Festive"/>
    <n v="196"/>
    <n v="46"/>
    <n v="157"/>
    <n v="85"/>
    <n v="61"/>
    <s v="ABC Traders"/>
    <n v="5185"/>
  </r>
  <r>
    <s v="P004"/>
    <s v="Duo Choco Bites"/>
    <s v="Bars"/>
    <n v="73"/>
    <n v="88"/>
    <n v="153"/>
    <n v="8"/>
    <n v="75"/>
    <s v="Choco World"/>
    <n v="600"/>
  </r>
  <r>
    <s v="P007"/>
    <s v="Choco Aura Custom Bar"/>
    <s v="Premium"/>
    <n v="146"/>
    <n v="117"/>
    <n v="46"/>
    <n v="217"/>
    <n v="75"/>
    <s v="Choco World"/>
    <n v="16275"/>
  </r>
  <r>
    <s v="P019"/>
    <s v="White Chocolate Truffle"/>
    <s v="Bars"/>
    <n v="127"/>
    <n v="97"/>
    <n v="70"/>
    <n v="154"/>
    <n v="21"/>
    <s v="Premium Foods"/>
    <n v="3234"/>
  </r>
  <r>
    <s v="P009"/>
    <s v="Rose Pista Chocolate"/>
    <s v="Festive"/>
    <n v="56"/>
    <n v="100"/>
    <n v="91"/>
    <n v="65"/>
    <n v="72"/>
    <s v="ABC Traders"/>
    <n v="4680"/>
  </r>
  <r>
    <s v="P005"/>
    <s v="Choco Dip Cookie"/>
    <s v="Premium"/>
    <n v="64"/>
    <n v="122"/>
    <n v="137"/>
    <n v="49"/>
    <n v="40"/>
    <s v="Sweet Supplies"/>
    <n v="1960"/>
  </r>
  <r>
    <s v="P025"/>
    <s v="Berry Blast Chocolate"/>
    <s v="Festive"/>
    <n v="176"/>
    <n v="23"/>
    <n v="172"/>
    <n v="27"/>
    <n v="113"/>
    <s v="Choco World"/>
    <n v="3051"/>
  </r>
  <r>
    <s v="P021"/>
    <s v="Orange Zest Chocolate"/>
    <s v="Premium"/>
    <n v="104"/>
    <n v="93"/>
    <n v="96"/>
    <n v="101"/>
    <n v="43"/>
    <s v="ABC Traders"/>
    <n v="4343"/>
  </r>
  <r>
    <s v="P014"/>
    <s v="Dark Fantasy Squares"/>
    <s v="Snacks"/>
    <n v="115"/>
    <n v="102"/>
    <n v="70"/>
    <n v="147"/>
    <n v="20"/>
    <s v="Global Cocoa"/>
    <n v="2940"/>
  </r>
  <r>
    <s v="P031"/>
    <s v="Honey Almond Chocolate"/>
    <s v="Cookies"/>
    <n v="137"/>
    <n v="104"/>
    <n v="149"/>
    <n v="92"/>
    <n v="72"/>
    <s v="Premium Foods"/>
    <n v="6624"/>
  </r>
  <r>
    <s v="P039"/>
    <s v="Luxury Praline Box"/>
    <s v="Festive"/>
    <n v="183"/>
    <n v="30"/>
    <n v="62"/>
    <n v="151"/>
    <n v="118"/>
    <s v="ABC Traders"/>
    <n v="17818"/>
  </r>
  <r>
    <s v="P024"/>
    <s v="Crunchy Wafer Chocolate"/>
    <s v="Bars"/>
    <n v="185"/>
    <n v="60"/>
    <n v="173"/>
    <n v="72"/>
    <n v="88"/>
    <s v="Choco World"/>
    <n v="6336"/>
  </r>
  <r>
    <s v="P026"/>
    <s v="Silk Ganache Cubes"/>
    <s v="Festive"/>
    <n v="59"/>
    <n v="124"/>
    <n v="82"/>
    <n v="101"/>
    <n v="42"/>
    <s v="ABC Traders"/>
    <n v="4242"/>
  </r>
  <r>
    <s v="P016"/>
    <s v="Nutella Filled Bites"/>
    <s v="Cookies"/>
    <n v="185"/>
    <n v="103"/>
    <n v="53"/>
    <n v="235"/>
    <n v="24"/>
    <s v="ABC Traders"/>
    <n v="5640"/>
  </r>
  <r>
    <s v="P013"/>
    <s v="Pistachio Fusion Chocolate"/>
    <s v="Cookies"/>
    <n v="191"/>
    <n v="30"/>
    <n v="91"/>
    <n v="130"/>
    <n v="101"/>
    <s v="Choco World"/>
    <n v="13130"/>
  </r>
  <r>
    <s v="P031"/>
    <s v="Honey Almond Chocolate"/>
    <s v="Cookies"/>
    <n v="80"/>
    <n v="20"/>
    <n v="178"/>
    <n v="-78"/>
    <n v="72"/>
    <s v="Choco World"/>
    <n v="-5616"/>
  </r>
  <r>
    <s v="P026"/>
    <s v="Silk Ganache Cubes"/>
    <s v="Festive"/>
    <n v="69"/>
    <n v="95"/>
    <n v="117"/>
    <n v="47"/>
    <n v="42"/>
    <s v="ABC Traders"/>
    <n v="1974"/>
  </r>
  <r>
    <s v="P029"/>
    <s v="Choco Lava Bites"/>
    <s v="Snacks"/>
    <n v="182"/>
    <n v="37"/>
    <n v="178"/>
    <n v="41"/>
    <n v="78"/>
    <s v="Global Cocoa"/>
    <n v="3198"/>
  </r>
  <r>
    <s v="P031"/>
    <s v="Honey Almond Chocolate"/>
    <s v="Cookies"/>
    <n v="171"/>
    <n v="54"/>
    <n v="64"/>
    <n v="161"/>
    <n v="72"/>
    <s v="Global Cocoa"/>
    <n v="11592"/>
  </r>
  <r>
    <s v="P012"/>
    <s v="Cashew Delight Bites"/>
    <s v="Cookies"/>
    <n v="192"/>
    <n v="93"/>
    <n v="31"/>
    <n v="254"/>
    <n v="76"/>
    <s v="ABC Traders"/>
    <n v="19304"/>
  </r>
  <r>
    <s v="P012"/>
    <s v="Cashew Delight Bites"/>
    <s v="Cookies"/>
    <n v="187"/>
    <n v="127"/>
    <n v="37"/>
    <n v="277"/>
    <n v="76"/>
    <s v="Sweet Supplies"/>
    <n v="21052"/>
  </r>
  <r>
    <s v="P040"/>
    <s v="Festive Chocolate Pack"/>
    <s v="Festive"/>
    <n v="139"/>
    <n v="71"/>
    <n v="42"/>
    <n v="168"/>
    <n v="63"/>
    <s v="Sweet Supplies"/>
    <n v="10584"/>
  </r>
  <r>
    <s v="P001"/>
    <s v="Choco Pie Popstick"/>
    <s v="Snacks"/>
    <n v="72"/>
    <n v="60"/>
    <n v="171"/>
    <n v="-39"/>
    <n v="46"/>
    <s v="ABC Traders"/>
    <n v="-1794"/>
  </r>
  <r>
    <s v="P031"/>
    <s v="Honey Almond Chocolate"/>
    <s v="Cookies"/>
    <n v="57"/>
    <n v="149"/>
    <n v="159"/>
    <n v="47"/>
    <n v="72"/>
    <s v="ABC Traders"/>
    <n v="3384"/>
  </r>
  <r>
    <s v="P008"/>
    <s v="Hazelnut Praline Chocolate"/>
    <s v="Premium"/>
    <n v="87"/>
    <n v="90"/>
    <n v="124"/>
    <n v="53"/>
    <n v="46"/>
    <s v="Global Cocoa"/>
    <n v="2438"/>
  </r>
  <r>
    <s v="P023"/>
    <s v="Coconut Delight Bar"/>
    <s v="Snacks"/>
    <n v="71"/>
    <n v="92"/>
    <n v="176"/>
    <n v="-13"/>
    <n v="11"/>
    <s v="Global Cocoa"/>
    <n v="-143"/>
  </r>
  <r>
    <s v="P001"/>
    <s v="Choco Pie Popstick"/>
    <s v="Snacks"/>
    <n v="151"/>
    <n v="51"/>
    <n v="67"/>
    <n v="135"/>
    <n v="46"/>
    <s v="Choco World"/>
    <n v="6210"/>
  </r>
  <r>
    <s v="P008"/>
    <s v="Hazelnut Praline Chocolate"/>
    <s v="Premium"/>
    <n v="93"/>
    <n v="137"/>
    <n v="58"/>
    <n v="172"/>
    <n v="46"/>
    <s v="ABC Traders"/>
    <n v="7912"/>
  </r>
  <r>
    <s v="P001"/>
    <s v="Choco Pie Popstick"/>
    <s v="Snacks"/>
    <n v="180"/>
    <n v="38"/>
    <n v="90"/>
    <n v="128"/>
    <n v="46"/>
    <s v="Global Cocoa"/>
    <n v="5888"/>
  </r>
  <r>
    <s v="P037"/>
    <s v="Golden Caramel Bites"/>
    <s v="Snacks"/>
    <n v="185"/>
    <n v="32"/>
    <n v="151"/>
    <n v="66"/>
    <n v="105"/>
    <s v="ABC Traders"/>
    <n v="6930"/>
  </r>
  <r>
    <s v="P018"/>
    <s v="Fruit &amp; Nut Chocolate"/>
    <s v="Snacks"/>
    <n v="96"/>
    <n v="72"/>
    <n v="52"/>
    <n v="116"/>
    <n v="93"/>
    <s v="Premium Foods"/>
    <n v="10788"/>
  </r>
  <r>
    <s v="P019"/>
    <s v="White Chocolate Truffle"/>
    <s v="Bars"/>
    <n v="136"/>
    <n v="112"/>
    <n v="175"/>
    <n v="73"/>
    <n v="21"/>
    <s v="ABC Traders"/>
    <n v="1533"/>
  </r>
  <r>
    <s v="P025"/>
    <s v="Berry Blast Chocolate"/>
    <s v="Festive"/>
    <n v="126"/>
    <n v="68"/>
    <n v="81"/>
    <n v="113"/>
    <n v="113"/>
    <s v="ABC Traders"/>
    <n v="12769"/>
  </r>
  <r>
    <s v="P025"/>
    <s v="Berry Blast Chocolate"/>
    <s v="Festive"/>
    <n v="98"/>
    <n v="63"/>
    <n v="162"/>
    <n v="-1"/>
    <n v="113"/>
    <s v="Global Cocoa"/>
    <n v="-113"/>
  </r>
  <r>
    <s v="P033"/>
    <s v="Milk Chocolate Coins"/>
    <s v="Cookies"/>
    <n v="137"/>
    <n v="37"/>
    <n v="92"/>
    <n v="82"/>
    <n v="13"/>
    <s v="Premium Foods"/>
    <n v="1066"/>
  </r>
  <r>
    <s v="P021"/>
    <s v="Orange Zest Chocolate"/>
    <s v="Premium"/>
    <n v="156"/>
    <n v="82"/>
    <n v="105"/>
    <n v="133"/>
    <n v="43"/>
    <s v="Global Cocoa"/>
    <n v="5719"/>
  </r>
  <r>
    <s v="P022"/>
    <s v="Mint Choco Squares"/>
    <s v="Festive"/>
    <n v="156"/>
    <n v="43"/>
    <n v="170"/>
    <n v="29"/>
    <n v="61"/>
    <s v="ABC Traders"/>
    <n v="1769"/>
  </r>
  <r>
    <s v="P039"/>
    <s v="Luxury Praline Box"/>
    <s v="Festive"/>
    <n v="157"/>
    <n v="138"/>
    <n v="175"/>
    <n v="120"/>
    <n v="118"/>
    <s v="ABC Traders"/>
    <n v="14160"/>
  </r>
  <r>
    <s v="P031"/>
    <s v="Honey Almond Chocolate"/>
    <s v="Cookies"/>
    <n v="157"/>
    <n v="123"/>
    <n v="115"/>
    <n v="165"/>
    <n v="72"/>
    <s v="Premium Foods"/>
    <n v="11880"/>
  </r>
  <r>
    <s v="P016"/>
    <s v="Nutella Filled Bites"/>
    <s v="Cookies"/>
    <n v="136"/>
    <n v="91"/>
    <n v="70"/>
    <n v="157"/>
    <n v="24"/>
    <s v="Choco World"/>
    <n v="3768"/>
  </r>
  <r>
    <s v="P030"/>
    <s v="Royal Dryfruit Mix"/>
    <s v="Cookies"/>
    <n v="99"/>
    <n v="76"/>
    <n v="174"/>
    <n v="1"/>
    <n v="55"/>
    <s v="ABC Traders"/>
    <n v="55"/>
  </r>
  <r>
    <s v="P002"/>
    <s v="Kunafa Bites"/>
    <s v="Premium"/>
    <n v="166"/>
    <n v="77"/>
    <n v="51"/>
    <n v="192"/>
    <n v="96"/>
    <s v="Choco World"/>
    <n v="18432"/>
  </r>
  <r>
    <s v="P013"/>
    <s v="Pistachio Fusion Chocolate"/>
    <s v="Cookies"/>
    <n v="56"/>
    <n v="130"/>
    <n v="130"/>
    <n v="56"/>
    <n v="101"/>
    <s v="Choco World"/>
    <n v="5656"/>
  </r>
  <r>
    <s v="P023"/>
    <s v="Coconut Delight Bar"/>
    <s v="Snacks"/>
    <n v="116"/>
    <n v="119"/>
    <n v="174"/>
    <n v="61"/>
    <n v="11"/>
    <s v="Choco World"/>
    <n v="671"/>
  </r>
  <r>
    <s v="P002"/>
    <s v="Kunafa Bites"/>
    <s v="Premium"/>
    <n v="70"/>
    <n v="80"/>
    <n v="62"/>
    <n v="88"/>
    <n v="96"/>
    <s v="Premium Foods"/>
    <n v="8448"/>
  </r>
  <r>
    <s v="P024"/>
    <s v="Crunchy Wafer Chocolate"/>
    <s v="Bars"/>
    <n v="176"/>
    <n v="128"/>
    <n v="114"/>
    <n v="190"/>
    <n v="88"/>
    <s v="Premium Foods"/>
    <n v="16720"/>
  </r>
  <r>
    <s v="P037"/>
    <s v="Golden Caramel Bites"/>
    <s v="Snacks"/>
    <n v="126"/>
    <n v="51"/>
    <n v="51"/>
    <n v="126"/>
    <n v="105"/>
    <s v="Global Cocoa"/>
    <n v="13230"/>
  </r>
  <r>
    <s v="P034"/>
    <s v="Signature Cocoa Bars"/>
    <s v="Cookies"/>
    <n v="136"/>
    <n v="39"/>
    <n v="141"/>
    <n v="34"/>
    <n v="96"/>
    <s v="Global Cocoa"/>
    <n v="3264"/>
  </r>
  <r>
    <s v="P005"/>
    <s v="Choco Dip Cookie"/>
    <s v="Premium"/>
    <n v="157"/>
    <n v="29"/>
    <n v="149"/>
    <n v="37"/>
    <n v="40"/>
    <s v="Choco World"/>
    <n v="1480"/>
  </r>
  <r>
    <s v="P018"/>
    <s v="Fruit &amp; Nut Chocolate"/>
    <s v="Snacks"/>
    <n v="102"/>
    <n v="149"/>
    <n v="168"/>
    <n v="83"/>
    <n v="93"/>
    <s v="Sweet Supplies"/>
    <n v="7719"/>
  </r>
  <r>
    <s v="P038"/>
    <s v="Choco Biscuit Pops"/>
    <s v="Premium"/>
    <n v="169"/>
    <n v="32"/>
    <n v="74"/>
    <n v="127"/>
    <n v="63"/>
    <s v="Choco World"/>
    <n v="8001"/>
  </r>
  <r>
    <s v="P001"/>
    <s v="Choco Pie Popstick"/>
    <s v="Snacks"/>
    <n v="84"/>
    <n v="52"/>
    <n v="55"/>
    <n v="81"/>
    <n v="46"/>
    <s v="ABC Traders"/>
    <n v="3726"/>
  </r>
  <r>
    <s v="P019"/>
    <s v="White Chocolate Truffle"/>
    <s v="Bars"/>
    <n v="150"/>
    <n v="22"/>
    <n v="114"/>
    <n v="58"/>
    <n v="21"/>
    <s v="Global Cocoa"/>
    <n v="1218"/>
  </r>
  <r>
    <s v="P012"/>
    <s v="Cashew Delight Bites"/>
    <s v="Cookies"/>
    <n v="55"/>
    <n v="61"/>
    <n v="41"/>
    <n v="75"/>
    <n v="76"/>
    <s v="Choco World"/>
    <n v="5700"/>
  </r>
  <r>
    <s v="P015"/>
    <s v="Caramel Crunch Cubes"/>
    <s v="Festive"/>
    <n v="131"/>
    <n v="67"/>
    <n v="30"/>
    <n v="168"/>
    <n v="63"/>
    <s v="ABC Traders"/>
    <n v="10584"/>
  </r>
  <r>
    <s v="P026"/>
    <s v="Silk Ganache Cubes"/>
    <s v="Festive"/>
    <n v="89"/>
    <n v="110"/>
    <n v="135"/>
    <n v="64"/>
    <n v="42"/>
    <s v="Sweet Supplies"/>
    <n v="2688"/>
  </r>
  <r>
    <s v="P002"/>
    <s v="Kunafa Bites"/>
    <s v="Premium"/>
    <n v="104"/>
    <n v="44"/>
    <n v="144"/>
    <n v="4"/>
    <n v="96"/>
    <s v="Premium Foods"/>
    <n v="384"/>
  </r>
  <r>
    <s v="P022"/>
    <s v="Mint Choco Squares"/>
    <s v="Festive"/>
    <n v="175"/>
    <n v="34"/>
    <n v="146"/>
    <n v="63"/>
    <n v="61"/>
    <s v="Sweet Supplies"/>
    <n v="3843"/>
  </r>
  <r>
    <s v="P024"/>
    <s v="Crunchy Wafer Chocolate"/>
    <s v="Bars"/>
    <n v="155"/>
    <n v="20"/>
    <n v="73"/>
    <n v="102"/>
    <n v="88"/>
    <s v="Premium Foods"/>
    <n v="8976"/>
  </r>
  <r>
    <s v="P036"/>
    <s v="Classic Dark Chocolate"/>
    <s v="Cookies"/>
    <n v="55"/>
    <n v="48"/>
    <n v="160"/>
    <n v="-57"/>
    <n v="69"/>
    <s v="Choco World"/>
    <n v="-3933"/>
  </r>
  <r>
    <s v="P013"/>
    <s v="Pistachio Fusion Chocolate"/>
    <s v="Cookies"/>
    <n v="163"/>
    <n v="85"/>
    <n v="106"/>
    <n v="142"/>
    <n v="101"/>
    <s v="Sweet Supplies"/>
    <n v="14342"/>
  </r>
  <r>
    <s v="P030"/>
    <s v="Royal Dryfruit Mix"/>
    <s v="Cookies"/>
    <n v="51"/>
    <n v="70"/>
    <n v="112"/>
    <n v="9"/>
    <n v="55"/>
    <s v="Global Cocoa"/>
    <n v="495"/>
  </r>
  <r>
    <s v="P029"/>
    <s v="Choco Lava Bites"/>
    <s v="Snacks"/>
    <n v="144"/>
    <n v="32"/>
    <n v="71"/>
    <n v="105"/>
    <n v="78"/>
    <s v="Global Cocoa"/>
    <n v="8190"/>
  </r>
  <r>
    <s v="P014"/>
    <s v="Dark Fantasy Squares"/>
    <s v="Snacks"/>
    <n v="99"/>
    <n v="82"/>
    <n v="154"/>
    <n v="27"/>
    <n v="20"/>
    <s v="Premium Foods"/>
    <n v="540"/>
  </r>
  <r>
    <s v="P009"/>
    <s v="Rose Pista Chocolate"/>
    <s v="Festive"/>
    <n v="143"/>
    <n v="51"/>
    <n v="170"/>
    <n v="24"/>
    <n v="72"/>
    <s v="ABC Traders"/>
    <n v="1728"/>
  </r>
  <r>
    <s v="P026"/>
    <s v="Silk Ganache Cubes"/>
    <s v="Festive"/>
    <n v="64"/>
    <n v="67"/>
    <n v="173"/>
    <n v="-42"/>
    <n v="42"/>
    <s v="Choco World"/>
    <n v="-1764"/>
  </r>
  <r>
    <s v="P017"/>
    <s v="Kesar Milk Chocolate"/>
    <s v="Cookies"/>
    <n v="136"/>
    <n v="38"/>
    <n v="121"/>
    <n v="53"/>
    <n v="98"/>
    <s v="Premium Foods"/>
    <n v="5194"/>
  </r>
  <r>
    <s v="P012"/>
    <s v="Cashew Delight Bites"/>
    <s v="Cookies"/>
    <n v="115"/>
    <n v="74"/>
    <n v="105"/>
    <n v="84"/>
    <n v="76"/>
    <s v="Premium Foods"/>
    <n v="6384"/>
  </r>
  <r>
    <s v="P005"/>
    <s v="Choco Dip Cookie"/>
    <s v="Premium"/>
    <n v="179"/>
    <n v="47"/>
    <n v="148"/>
    <n v="78"/>
    <n v="40"/>
    <s v="Sweet Supplies"/>
    <n v="3120"/>
  </r>
  <r>
    <s v="P034"/>
    <s v="Signature Cocoa Bars"/>
    <s v="Cookies"/>
    <n v="177"/>
    <n v="148"/>
    <n v="86"/>
    <n v="239"/>
    <n v="96"/>
    <s v="Choco World"/>
    <n v="22944"/>
  </r>
  <r>
    <s v="P020"/>
    <s v="Coffee Mocha Bites"/>
    <s v="Snacks"/>
    <n v="175"/>
    <n v="31"/>
    <n v="95"/>
    <n v="111"/>
    <n v="10"/>
    <s v="ABC Traders"/>
    <n v="1110"/>
  </r>
  <r>
    <s v="P018"/>
    <s v="Fruit &amp; Nut Chocolate"/>
    <s v="Snacks"/>
    <n v="59"/>
    <n v="114"/>
    <n v="106"/>
    <n v="67"/>
    <n v="93"/>
    <s v="Choco World"/>
    <n v="6231"/>
  </r>
  <r>
    <s v="P027"/>
    <s v="Premium Cocoa Slabs"/>
    <s v="Bars"/>
    <n v="58"/>
    <n v="83"/>
    <n v="82"/>
    <n v="59"/>
    <n v="92"/>
    <s v="Global Cocoa"/>
    <n v="5428"/>
  </r>
  <r>
    <s v="P019"/>
    <s v="White Chocolate Truffle"/>
    <s v="Bars"/>
    <n v="157"/>
    <n v="149"/>
    <n v="48"/>
    <n v="258"/>
    <n v="21"/>
    <s v="Choco World"/>
    <n v="5418"/>
  </r>
  <r>
    <s v="P001"/>
    <s v="Choco Pie Popstick"/>
    <s v="Snacks"/>
    <n v="164"/>
    <n v="70"/>
    <n v="166"/>
    <n v="68"/>
    <n v="46"/>
    <s v="Sweet Supplies"/>
    <n v="3128"/>
  </r>
  <r>
    <s v="P022"/>
    <s v="Mint Choco Squares"/>
    <s v="Festive"/>
    <n v="83"/>
    <n v="59"/>
    <n v="158"/>
    <n v="-16"/>
    <n v="61"/>
    <s v="Sweet Supplies"/>
    <n v="-976"/>
  </r>
  <r>
    <s v="P033"/>
    <s v="Milk Chocolate Coins"/>
    <s v="Cookies"/>
    <n v="143"/>
    <n v="144"/>
    <n v="73"/>
    <n v="214"/>
    <n v="13"/>
    <s v="Choco World"/>
    <n v="2782"/>
  </r>
  <r>
    <s v="P031"/>
    <s v="Honey Almond Chocolate"/>
    <s v="Cookies"/>
    <n v="103"/>
    <n v="74"/>
    <n v="167"/>
    <n v="10"/>
    <n v="72"/>
    <s v="Sweet Supplies"/>
    <n v="720"/>
  </r>
  <r>
    <s v="P006"/>
    <s v="Love Loaded Chocolate Bar"/>
    <s v="Festive"/>
    <n v="181"/>
    <n v="21"/>
    <n v="128"/>
    <n v="74"/>
    <n v="42"/>
    <s v="Global Cocoa"/>
    <n v="3108"/>
  </r>
  <r>
    <s v="P020"/>
    <s v="Coffee Mocha Bites"/>
    <s v="Snacks"/>
    <n v="164"/>
    <n v="90"/>
    <n v="70"/>
    <n v="184"/>
    <n v="10"/>
    <s v="Global Cocoa"/>
    <n v="1840"/>
  </r>
  <r>
    <s v="P019"/>
    <s v="White Chocolate Truffle"/>
    <s v="Bars"/>
    <n v="106"/>
    <n v="22"/>
    <n v="145"/>
    <n v="-17"/>
    <n v="21"/>
    <s v="Global Cocoa"/>
    <n v="-357"/>
  </r>
  <r>
    <s v="P011"/>
    <s v="Almond Crunch Bar"/>
    <s v="Bars"/>
    <n v="129"/>
    <n v="45"/>
    <n v="177"/>
    <n v="-3"/>
    <n v="59"/>
    <s v="ABC Traders"/>
    <n v="-177"/>
  </r>
  <r>
    <s v="P035"/>
    <s v="Velvet Truffle Bites"/>
    <s v="Cookies"/>
    <n v="111"/>
    <n v="95"/>
    <n v="107"/>
    <n v="99"/>
    <n v="106"/>
    <s v="Global Cocoa"/>
    <n v="10494"/>
  </r>
  <r>
    <s v="P024"/>
    <s v="Crunchy Wafer Chocolate"/>
    <s v="Bars"/>
    <n v="70"/>
    <n v="75"/>
    <n v="58"/>
    <n v="87"/>
    <n v="88"/>
    <s v="Sweet Supplies"/>
    <n v="7656"/>
  </r>
  <r>
    <s v="P032"/>
    <s v="Choco Fudge Squares"/>
    <s v="Premium"/>
    <n v="82"/>
    <n v="109"/>
    <n v="119"/>
    <n v="72"/>
    <n v="85"/>
    <s v="Sweet Supplies"/>
    <n v="6120"/>
  </r>
  <r>
    <s v="P012"/>
    <s v="Cashew Delight Bites"/>
    <s v="Cookies"/>
    <n v="67"/>
    <n v="23"/>
    <n v="165"/>
    <n v="-75"/>
    <n v="76"/>
    <s v="Premium Foods"/>
    <n v="-5700"/>
  </r>
  <r>
    <s v="P011"/>
    <s v="Almond Crunch Bar"/>
    <s v="Bars"/>
    <n v="72"/>
    <n v="52"/>
    <n v="74"/>
    <n v="50"/>
    <n v="59"/>
    <s v="Premium Foods"/>
    <n v="2950"/>
  </r>
  <r>
    <s v="P008"/>
    <s v="Hazelnut Praline Chocolate"/>
    <s v="Premium"/>
    <n v="67"/>
    <n v="119"/>
    <n v="176"/>
    <n v="10"/>
    <n v="46"/>
    <s v="ABC Traders"/>
    <n v="460"/>
  </r>
  <r>
    <s v="P004"/>
    <s v="Duo Choco Bites"/>
    <s v="Bars"/>
    <n v="187"/>
    <n v="49"/>
    <n v="85"/>
    <n v="151"/>
    <n v="75"/>
    <s v="Premium Foods"/>
    <n v="11325"/>
  </r>
  <r>
    <s v="P029"/>
    <s v="Choco Lava Bites"/>
    <s v="Snacks"/>
    <n v="188"/>
    <n v="35"/>
    <n v="57"/>
    <n v="166"/>
    <n v="78"/>
    <s v="Premium Foods"/>
    <n v="12948"/>
  </r>
  <r>
    <s v="P022"/>
    <s v="Mint Choco Squares"/>
    <s v="Festive"/>
    <n v="115"/>
    <n v="72"/>
    <n v="59"/>
    <n v="128"/>
    <n v="61"/>
    <s v="Choco World"/>
    <n v="7808"/>
  </r>
  <r>
    <s v="P002"/>
    <s v="Kunafa Bites"/>
    <s v="Premium"/>
    <n v="156"/>
    <n v="62"/>
    <n v="131"/>
    <n v="87"/>
    <n v="96"/>
    <s v="Premium Foods"/>
    <n v="8352"/>
  </r>
  <r>
    <s v="P029"/>
    <s v="Choco Lava Bites"/>
    <s v="Snacks"/>
    <n v="51"/>
    <n v="70"/>
    <n v="84"/>
    <n v="37"/>
    <n v="78"/>
    <s v="Global Cocoa"/>
    <n v="2886"/>
  </r>
  <r>
    <s v="P004"/>
    <s v="Duo Choco Bites"/>
    <s v="Bars"/>
    <n v="53"/>
    <n v="73"/>
    <n v="36"/>
    <n v="90"/>
    <n v="75"/>
    <s v="ABC Traders"/>
    <n v="6750"/>
  </r>
  <r>
    <s v="P039"/>
    <s v="Luxury Praline Box"/>
    <s v="Festive"/>
    <n v="66"/>
    <n v="129"/>
    <n v="157"/>
    <n v="38"/>
    <n v="118"/>
    <s v="Sweet Supplies"/>
    <n v="4484"/>
  </r>
  <r>
    <s v="P033"/>
    <s v="Milk Chocolate Coins"/>
    <s v="Cookies"/>
    <n v="185"/>
    <n v="106"/>
    <n v="44"/>
    <n v="247"/>
    <n v="13"/>
    <s v="Choco World"/>
    <n v="3211"/>
  </r>
  <r>
    <s v="P026"/>
    <s v="Silk Ganache Cubes"/>
    <s v="Festive"/>
    <n v="82"/>
    <n v="32"/>
    <n v="58"/>
    <n v="56"/>
    <n v="42"/>
    <s v="Choco World"/>
    <n v="2352"/>
  </r>
  <r>
    <s v="P020"/>
    <s v="Coffee Mocha Bites"/>
    <s v="Snacks"/>
    <n v="191"/>
    <n v="58"/>
    <n v="55"/>
    <n v="194"/>
    <n v="10"/>
    <s v="Global Cocoa"/>
    <n v="1940"/>
  </r>
  <r>
    <s v="P028"/>
    <s v="Butterscotch Crunch Bar"/>
    <s v="Bars"/>
    <n v="121"/>
    <n v="41"/>
    <n v="153"/>
    <n v="9"/>
    <n v="54"/>
    <s v="Choco World"/>
    <n v="486"/>
  </r>
  <r>
    <s v="P035"/>
    <s v="Velvet Truffle Bites"/>
    <s v="Cookies"/>
    <n v="169"/>
    <n v="82"/>
    <n v="174"/>
    <n v="77"/>
    <n v="106"/>
    <s v="Global Cocoa"/>
    <n v="8162"/>
  </r>
  <r>
    <s v="P022"/>
    <s v="Mint Choco Squares"/>
    <s v="Festive"/>
    <n v="78"/>
    <n v="102"/>
    <n v="120"/>
    <n v="60"/>
    <n v="61"/>
    <s v="Global Cocoa"/>
    <n v="3660"/>
  </r>
  <r>
    <s v="P026"/>
    <s v="Silk Ganache Cubes"/>
    <s v="Festive"/>
    <n v="142"/>
    <n v="145"/>
    <n v="130"/>
    <n v="157"/>
    <n v="42"/>
    <s v="Choco World"/>
    <n v="6594"/>
  </r>
  <r>
    <s v="P015"/>
    <s v="Caramel Crunch Cubes"/>
    <s v="Festive"/>
    <n v="199"/>
    <n v="95"/>
    <n v="140"/>
    <n v="154"/>
    <n v="63"/>
    <s v="Premium Foods"/>
    <n v="9702"/>
  </r>
  <r>
    <s v="P002"/>
    <s v="Kunafa Bites"/>
    <s v="Premium"/>
    <n v="103"/>
    <n v="101"/>
    <n v="173"/>
    <n v="31"/>
    <n v="96"/>
    <s v="Premium Foods"/>
    <n v="2976"/>
  </r>
  <r>
    <s v="P010"/>
    <s v="Dry Fruit Special Chocolate"/>
    <s v="Bars"/>
    <n v="195"/>
    <n v="122"/>
    <n v="114"/>
    <n v="203"/>
    <n v="94"/>
    <s v="ABC Traders"/>
    <n v="19082"/>
  </r>
  <r>
    <s v="P033"/>
    <s v="Milk Chocolate Coins"/>
    <s v="Cookies"/>
    <n v="114"/>
    <n v="121"/>
    <n v="146"/>
    <n v="89"/>
    <n v="13"/>
    <s v="ABC Traders"/>
    <n v="1157"/>
  </r>
  <r>
    <s v="P009"/>
    <s v="Rose Pista Chocolate"/>
    <s v="Festive"/>
    <n v="187"/>
    <n v="102"/>
    <n v="147"/>
    <n v="142"/>
    <n v="72"/>
    <s v="Global Cocoa"/>
    <n v="10224"/>
  </r>
  <r>
    <s v="P018"/>
    <s v="Fruit &amp; Nut Chocolate"/>
    <s v="Snacks"/>
    <n v="164"/>
    <n v="96"/>
    <n v="146"/>
    <n v="114"/>
    <n v="93"/>
    <s v="ABC Traders"/>
    <n v="10602"/>
  </r>
  <r>
    <s v="P027"/>
    <s v="Premium Cocoa Slabs"/>
    <s v="Bars"/>
    <n v="174"/>
    <n v="144"/>
    <n v="107"/>
    <n v="211"/>
    <n v="92"/>
    <s v="Premium Foods"/>
    <n v="19412"/>
  </r>
  <r>
    <s v="P002"/>
    <s v="Kunafa Bites"/>
    <s v="Premium"/>
    <n v="177"/>
    <n v="43"/>
    <n v="111"/>
    <n v="109"/>
    <n v="96"/>
    <s v="ABC Traders"/>
    <n v="10464"/>
  </r>
  <r>
    <s v="P033"/>
    <s v="Milk Chocolate Coins"/>
    <s v="Cookies"/>
    <n v="66"/>
    <n v="117"/>
    <n v="53"/>
    <n v="130"/>
    <n v="13"/>
    <s v="Global Cocoa"/>
    <n v="1690"/>
  </r>
  <r>
    <s v="P021"/>
    <s v="Orange Zest Chocolate"/>
    <s v="Premium"/>
    <n v="123"/>
    <n v="36"/>
    <n v="93"/>
    <n v="66"/>
    <n v="43"/>
    <s v="Choco World"/>
    <n v="2838"/>
  </r>
  <r>
    <s v="P015"/>
    <s v="Caramel Crunch Cubes"/>
    <s v="Festive"/>
    <n v="114"/>
    <n v="143"/>
    <n v="120"/>
    <n v="137"/>
    <n v="63"/>
    <s v="Premium Foods"/>
    <n v="8631"/>
  </r>
  <r>
    <s v="P008"/>
    <s v="Hazelnut Praline Chocolate"/>
    <s v="Premium"/>
    <n v="112"/>
    <n v="76"/>
    <n v="32"/>
    <n v="156"/>
    <n v="46"/>
    <s v="ABC Traders"/>
    <n v="7176"/>
  </r>
  <r>
    <s v="P027"/>
    <s v="Premium Cocoa Slabs"/>
    <s v="Bars"/>
    <n v="57"/>
    <n v="80"/>
    <n v="138"/>
    <n v="-1"/>
    <n v="92"/>
    <s v="Premium Foods"/>
    <n v="-92"/>
  </r>
  <r>
    <s v="P032"/>
    <s v="Choco Fudge Squares"/>
    <s v="Premium"/>
    <n v="174"/>
    <n v="146"/>
    <n v="92"/>
    <n v="228"/>
    <n v="85"/>
    <s v="Global Cocoa"/>
    <n v="19380"/>
  </r>
  <r>
    <s v="P006"/>
    <s v="Love Loaded Chocolate Bar"/>
    <s v="Festive"/>
    <n v="53"/>
    <n v="73"/>
    <n v="152"/>
    <n v="-26"/>
    <n v="42"/>
    <s v="Sweet Supplies"/>
    <n v="-1092"/>
  </r>
  <r>
    <s v="P030"/>
    <s v="Royal Dryfruit Mix"/>
    <s v="Cookies"/>
    <n v="193"/>
    <n v="139"/>
    <n v="131"/>
    <n v="201"/>
    <n v="55"/>
    <s v="ABC Traders"/>
    <n v="11055"/>
  </r>
  <r>
    <s v="P033"/>
    <s v="Milk Chocolate Coins"/>
    <s v="Cookies"/>
    <n v="85"/>
    <n v="87"/>
    <n v="95"/>
    <n v="77"/>
    <n v="13"/>
    <s v="Choco World"/>
    <n v="1001"/>
  </r>
  <r>
    <s v="P027"/>
    <s v="Premium Cocoa Slabs"/>
    <s v="Bars"/>
    <n v="54"/>
    <n v="59"/>
    <n v="72"/>
    <n v="41"/>
    <n v="92"/>
    <s v="Sweet Supplies"/>
    <n v="3772"/>
  </r>
  <r>
    <s v="P032"/>
    <s v="Choco Fudge Squares"/>
    <s v="Premium"/>
    <n v="183"/>
    <n v="55"/>
    <n v="41"/>
    <n v="197"/>
    <n v="85"/>
    <s v="ABC Traders"/>
    <n v="16745"/>
  </r>
  <r>
    <s v="P037"/>
    <s v="Golden Caramel Bites"/>
    <s v="Snacks"/>
    <n v="128"/>
    <n v="122"/>
    <n v="90"/>
    <n v="160"/>
    <n v="105"/>
    <s v="Global Cocoa"/>
    <n v="16800"/>
  </r>
  <r>
    <s v="P035"/>
    <s v="Velvet Truffle Bites"/>
    <s v="Cookies"/>
    <n v="63"/>
    <n v="33"/>
    <n v="30"/>
    <n v="66"/>
    <n v="106"/>
    <s v="Sweet Supplies"/>
    <n v="6996"/>
  </r>
  <r>
    <s v="P001"/>
    <s v="Choco Pie Popstick"/>
    <s v="Snacks"/>
    <n v="85"/>
    <n v="134"/>
    <n v="98"/>
    <n v="121"/>
    <n v="46"/>
    <s v="Global Cocoa"/>
    <n v="5566"/>
  </r>
  <r>
    <s v="P035"/>
    <s v="Velvet Truffle Bites"/>
    <s v="Cookies"/>
    <n v="176"/>
    <n v="39"/>
    <n v="88"/>
    <n v="127"/>
    <n v="106"/>
    <s v="ABC Traders"/>
    <n v="13462"/>
  </r>
  <r>
    <s v="P014"/>
    <s v="Dark Fantasy Squares"/>
    <s v="Snacks"/>
    <n v="58"/>
    <n v="86"/>
    <n v="175"/>
    <n v="-31"/>
    <n v="20"/>
    <s v="Global Cocoa"/>
    <n v="-620"/>
  </r>
  <r>
    <s v="P003"/>
    <s v="Choco Crunch Cone"/>
    <s v="Bars"/>
    <n v="162"/>
    <n v="141"/>
    <n v="147"/>
    <n v="156"/>
    <n v="66"/>
    <s v="ABC Traders"/>
    <n v="10296"/>
  </r>
  <r>
    <s v="P022"/>
    <s v="Mint Choco Squares"/>
    <s v="Festive"/>
    <n v="73"/>
    <n v="122"/>
    <n v="157"/>
    <n v="38"/>
    <n v="61"/>
    <s v="Sweet Supplies"/>
    <n v="2318"/>
  </r>
  <r>
    <s v="P009"/>
    <s v="Rose Pista Chocolate"/>
    <s v="Festive"/>
    <n v="197"/>
    <n v="67"/>
    <n v="160"/>
    <n v="104"/>
    <n v="72"/>
    <s v="Global Cocoa"/>
    <n v="7488"/>
  </r>
  <r>
    <s v="P027"/>
    <s v="Premium Cocoa Slabs"/>
    <s v="Bars"/>
    <n v="176"/>
    <n v="72"/>
    <n v="120"/>
    <n v="128"/>
    <n v="92"/>
    <s v="Premium Foods"/>
    <n v="11776"/>
  </r>
  <r>
    <s v="P023"/>
    <s v="Coconut Delight Bar"/>
    <s v="Snacks"/>
    <n v="101"/>
    <n v="61"/>
    <n v="61"/>
    <n v="101"/>
    <n v="11"/>
    <s v="Global Cocoa"/>
    <n v="1111"/>
  </r>
  <r>
    <s v="P022"/>
    <s v="Mint Choco Squares"/>
    <s v="Festive"/>
    <n v="171"/>
    <n v="85"/>
    <n v="40"/>
    <n v="216"/>
    <n v="61"/>
    <s v="Sweet Supplies"/>
    <n v="13176"/>
  </r>
  <r>
    <s v="P030"/>
    <s v="Royal Dryfruit Mix"/>
    <s v="Cookies"/>
    <n v="136"/>
    <n v="129"/>
    <n v="37"/>
    <n v="228"/>
    <n v="55"/>
    <s v="Global Cocoa"/>
    <n v="12540"/>
  </r>
  <r>
    <s v="P012"/>
    <s v="Cashew Delight Bites"/>
    <s v="Cookies"/>
    <n v="172"/>
    <n v="115"/>
    <n v="166"/>
    <n v="121"/>
    <n v="76"/>
    <s v="Choco World"/>
    <n v="9196"/>
  </r>
  <r>
    <s v="P031"/>
    <s v="Honey Almond Chocolate"/>
    <s v="Cookies"/>
    <n v="87"/>
    <n v="136"/>
    <n v="96"/>
    <n v="127"/>
    <n v="72"/>
    <s v="ABC Traders"/>
    <n v="9144"/>
  </r>
  <r>
    <s v="P017"/>
    <s v="Kesar Milk Chocolate"/>
    <s v="Cookies"/>
    <n v="106"/>
    <n v="86"/>
    <n v="31"/>
    <n v="161"/>
    <n v="98"/>
    <s v="Premium Foods"/>
    <n v="15778"/>
  </r>
  <r>
    <s v="P038"/>
    <s v="Choco Biscuit Pops"/>
    <s v="Premium"/>
    <n v="71"/>
    <n v="21"/>
    <n v="76"/>
    <n v="16"/>
    <n v="63"/>
    <s v="Premium Foods"/>
    <n v="1008"/>
  </r>
  <r>
    <s v="P034"/>
    <s v="Signature Cocoa Bars"/>
    <s v="Cookies"/>
    <n v="179"/>
    <n v="24"/>
    <n v="61"/>
    <n v="142"/>
    <n v="96"/>
    <s v="Sweet Supplies"/>
    <n v="13632"/>
  </r>
  <r>
    <s v="P006"/>
    <s v="Love Loaded Chocolate Bar"/>
    <s v="Festive"/>
    <n v="53"/>
    <n v="62"/>
    <n v="152"/>
    <n v="-37"/>
    <n v="42"/>
    <s v="ABC Traders"/>
    <n v="-1554"/>
  </r>
  <r>
    <s v="P013"/>
    <s v="Pistachio Fusion Chocolate"/>
    <s v="Cookies"/>
    <n v="183"/>
    <n v="139"/>
    <n v="165"/>
    <n v="157"/>
    <n v="101"/>
    <s v="Global Cocoa"/>
    <n v="15857"/>
  </r>
  <r>
    <s v="P006"/>
    <s v="Love Loaded Chocolate Bar"/>
    <s v="Festive"/>
    <n v="155"/>
    <n v="39"/>
    <n v="52"/>
    <n v="142"/>
    <n v="42"/>
    <s v="Premium Foods"/>
    <n v="5964"/>
  </r>
  <r>
    <s v="P005"/>
    <s v="Choco Dip Cookie"/>
    <s v="Premium"/>
    <n v="178"/>
    <n v="70"/>
    <n v="63"/>
    <n v="185"/>
    <n v="40"/>
    <s v="Sweet Supplies"/>
    <n v="7400"/>
  </r>
  <r>
    <s v="P003"/>
    <s v="Choco Crunch Cone"/>
    <s v="Bars"/>
    <n v="200"/>
    <n v="62"/>
    <n v="173"/>
    <n v="89"/>
    <n v="66"/>
    <s v="ABC Traders"/>
    <n v="5874"/>
  </r>
  <r>
    <s v="P034"/>
    <s v="Signature Cocoa Bars"/>
    <s v="Cookies"/>
    <n v="164"/>
    <n v="20"/>
    <n v="85"/>
    <n v="99"/>
    <n v="96"/>
    <s v="Premium Foods"/>
    <n v="9504"/>
  </r>
  <r>
    <s v="P007"/>
    <s v="Choco Aura Custom Bar"/>
    <s v="Premium"/>
    <n v="151"/>
    <n v="23"/>
    <n v="113"/>
    <n v="61"/>
    <n v="75"/>
    <s v="Sweet Supplies"/>
    <n v="4575"/>
  </r>
  <r>
    <s v="P025"/>
    <s v="Berry Blast Chocolate"/>
    <s v="Festive"/>
    <n v="96"/>
    <n v="20"/>
    <n v="82"/>
    <n v="34"/>
    <n v="113"/>
    <s v="Sweet Supplies"/>
    <n v="384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006"/>
    <s v="Love Loaded Chocolate Bar"/>
    <s v="Festive"/>
    <n v="172"/>
    <n v="29"/>
    <n v="144"/>
    <n v="57"/>
    <n v="42"/>
    <s v="Sweet Supplies"/>
    <n v="2394"/>
    <n v="200.5"/>
    <n v="0.71820448877805487"/>
  </r>
  <r>
    <s v="P029"/>
    <s v="Choco Lava Bites"/>
    <s v="Snacks"/>
    <n v="177"/>
    <n v="96"/>
    <n v="77"/>
    <n v="196"/>
    <n v="78"/>
    <s v="Global Cocoa"/>
    <n v="15288"/>
    <n v="275"/>
    <n v="0.28000000000000003"/>
  </r>
  <r>
    <s v="P014"/>
    <s v="Dark Fantasy Squares"/>
    <s v="Snacks"/>
    <n v="180"/>
    <n v="130"/>
    <n v="165"/>
    <n v="145"/>
    <n v="20"/>
    <s v="Choco World"/>
    <n v="2900"/>
    <n v="252.5"/>
    <n v="0.65346534653465349"/>
  </r>
  <r>
    <s v="P038"/>
    <s v="Choco Biscuit Pops"/>
    <s v="Premium"/>
    <n v="112"/>
    <n v="126"/>
    <n v="74"/>
    <n v="164"/>
    <n v="63"/>
    <s v="Global Cocoa"/>
    <n v="10332"/>
    <n v="194"/>
    <n v="0.38144329896907214"/>
  </r>
  <r>
    <s v="P003"/>
    <s v="Choco Crunch Cone"/>
    <s v="Bars"/>
    <n v="167"/>
    <n v="69"/>
    <n v="179"/>
    <n v="57"/>
    <n v="66"/>
    <s v="Choco World"/>
    <n v="3762"/>
    <n v="195.5"/>
    <n v="0.9156010230179028"/>
  </r>
  <r>
    <s v="P038"/>
    <s v="Choco Biscuit Pops"/>
    <s v="Premium"/>
    <n v="190"/>
    <n v="107"/>
    <n v="167"/>
    <n v="130"/>
    <n v="63"/>
    <s v="Global Cocoa"/>
    <n v="8190"/>
    <n v="255"/>
    <n v="0.65490196078431373"/>
  </r>
  <r>
    <s v="P006"/>
    <s v="Love Loaded Chocolate Bar"/>
    <s v="Festive"/>
    <n v="112"/>
    <n v="55"/>
    <n v="74"/>
    <n v="93"/>
    <n v="42"/>
    <s v="ABC Traders"/>
    <n v="3906"/>
    <n v="158.5"/>
    <n v="0.46687697160883279"/>
  </r>
  <r>
    <s v="P014"/>
    <s v="Dark Fantasy Squares"/>
    <s v="Snacks"/>
    <n v="199"/>
    <n v="103"/>
    <n v="93"/>
    <n v="209"/>
    <n v="20"/>
    <s v="ABC Traders"/>
    <n v="4180"/>
    <n v="303.5"/>
    <n v="0.30642504118616143"/>
  </r>
  <r>
    <s v="P029"/>
    <s v="Choco Lava Bites"/>
    <s v="Snacks"/>
    <n v="50"/>
    <n v="32"/>
    <n v="128"/>
    <n v="-46"/>
    <n v="78"/>
    <s v="ABC Traders"/>
    <n v="-3588"/>
    <n v="27"/>
    <n v="4.7407407407407405"/>
  </r>
  <r>
    <s v="P032"/>
    <s v="Choco Fudge Squares"/>
    <s v="Premium"/>
    <n v="104"/>
    <n v="134"/>
    <n v="62"/>
    <n v="176"/>
    <n v="85"/>
    <s v="Global Cocoa"/>
    <n v="14960"/>
    <n v="192"/>
    <n v="0.32291666666666669"/>
  </r>
  <r>
    <s v="P040"/>
    <s v="Festive Chocolate Pack"/>
    <s v="Festive"/>
    <n v="144"/>
    <n v="137"/>
    <n v="125"/>
    <n v="156"/>
    <n v="63"/>
    <s v="ABC Traders"/>
    <n v="9828"/>
    <n v="222"/>
    <n v="0.56306306306306309"/>
  </r>
  <r>
    <s v="P037"/>
    <s v="Golden Caramel Bites"/>
    <s v="Snacks"/>
    <n v="171"/>
    <n v="63"/>
    <n v="69"/>
    <n v="165"/>
    <n v="105"/>
    <s v="ABC Traders"/>
    <n v="17325"/>
    <n v="253.5"/>
    <n v="0.27218934911242604"/>
  </r>
  <r>
    <s v="P027"/>
    <s v="Premium Cocoa Slabs"/>
    <s v="Bars"/>
    <n v="67"/>
    <n v="101"/>
    <n v="77"/>
    <n v="91"/>
    <n v="92"/>
    <s v="Premium Foods"/>
    <n v="8372"/>
    <n v="112.5"/>
    <n v="0.68444444444444441"/>
  </r>
  <r>
    <s v="P014"/>
    <s v="Dark Fantasy Squares"/>
    <s v="Snacks"/>
    <n v="126"/>
    <n v="115"/>
    <n v="96"/>
    <n v="145"/>
    <n v="20"/>
    <s v="Sweet Supplies"/>
    <n v="2900"/>
    <n v="198.5"/>
    <n v="0.48362720403022669"/>
  </r>
  <r>
    <s v="P033"/>
    <s v="Milk Chocolate Coins"/>
    <s v="Cookies"/>
    <n v="114"/>
    <n v="39"/>
    <n v="44"/>
    <n v="109"/>
    <n v="13"/>
    <s v="ABC Traders"/>
    <n v="1417"/>
    <n v="168.5"/>
    <n v="0.26112759643916916"/>
  </r>
  <r>
    <s v="P010"/>
    <s v="Dry Fruit Special Chocolate"/>
    <s v="Bars"/>
    <n v="95"/>
    <n v="114"/>
    <n v="98"/>
    <n v="111"/>
    <n v="94"/>
    <s v="Choco World"/>
    <n v="10434"/>
    <n v="150.5"/>
    <n v="0.65116279069767447"/>
  </r>
  <r>
    <s v="P005"/>
    <s v="Choco Dip Cookie"/>
    <s v="Premium"/>
    <n v="153"/>
    <n v="145"/>
    <n v="117"/>
    <n v="181"/>
    <n v="40"/>
    <s v="Choco World"/>
    <n v="7240"/>
    <n v="243.5"/>
    <n v="0.48049281314168379"/>
  </r>
  <r>
    <s v="P028"/>
    <s v="Butterscotch Crunch Bar"/>
    <s v="Bars"/>
    <n v="176"/>
    <n v="21"/>
    <n v="127"/>
    <n v="70"/>
    <n v="54"/>
    <s v="Sweet Supplies"/>
    <n v="3780"/>
    <n v="211"/>
    <n v="0.6018957345971564"/>
  </r>
  <r>
    <s v="P008"/>
    <s v="Hazelnut Praline Chocolate"/>
    <s v="Premium"/>
    <n v="141"/>
    <n v="109"/>
    <n v="137"/>
    <n v="113"/>
    <n v="46"/>
    <s v="Sweet Supplies"/>
    <n v="5198"/>
    <n v="197.5"/>
    <n v="0.6936708860759494"/>
  </r>
  <r>
    <s v="P012"/>
    <s v="Cashew Delight Bites"/>
    <s v="Cookies"/>
    <n v="136"/>
    <n v="85"/>
    <n v="168"/>
    <n v="53"/>
    <n v="76"/>
    <s v="Premium Foods"/>
    <n v="4028"/>
    <n v="162.5"/>
    <n v="1.0338461538461539"/>
  </r>
  <r>
    <s v="P035"/>
    <s v="Velvet Truffle Bites"/>
    <s v="Cookies"/>
    <n v="50"/>
    <n v="77"/>
    <n v="70"/>
    <n v="57"/>
    <n v="106"/>
    <s v="Sweet Supplies"/>
    <n v="6042"/>
    <n v="78.5"/>
    <n v="0.89171974522292996"/>
  </r>
  <r>
    <s v="P033"/>
    <s v="Milk Chocolate Coins"/>
    <s v="Cookies"/>
    <n v="125"/>
    <n v="46"/>
    <n v="79"/>
    <n v="92"/>
    <n v="13"/>
    <s v="Choco World"/>
    <n v="1196"/>
    <n v="171"/>
    <n v="0.46198830409356723"/>
  </r>
  <r>
    <s v="P002"/>
    <s v="Kunafa Bites"/>
    <s v="Premium"/>
    <n v="121"/>
    <n v="24"/>
    <n v="176"/>
    <n v="-31"/>
    <n v="96"/>
    <s v="ABC Traders"/>
    <n v="-2976"/>
    <n v="105.5"/>
    <n v="1.6682464454976302"/>
  </r>
  <r>
    <s v="P028"/>
    <s v="Butterscotch Crunch Bar"/>
    <s v="Bars"/>
    <n v="111"/>
    <n v="110"/>
    <n v="131"/>
    <n v="90"/>
    <n v="54"/>
    <s v="Premium Foods"/>
    <n v="4860"/>
    <n v="156"/>
    <n v="0.83974358974358976"/>
  </r>
  <r>
    <s v="P028"/>
    <s v="Butterscotch Crunch Bar"/>
    <s v="Bars"/>
    <n v="171"/>
    <n v="36"/>
    <n v="52"/>
    <n v="155"/>
    <n v="54"/>
    <s v="Premium Foods"/>
    <n v="8370"/>
    <n v="248.5"/>
    <n v="0.20925553319919518"/>
  </r>
  <r>
    <s v="P039"/>
    <s v="Luxury Praline Box"/>
    <s v="Festive"/>
    <n v="126"/>
    <n v="145"/>
    <n v="33"/>
    <n v="238"/>
    <n v="118"/>
    <s v="Global Cocoa"/>
    <n v="28084"/>
    <n v="245"/>
    <n v="0.13469387755102041"/>
  </r>
  <r>
    <s v="P006"/>
    <s v="Love Loaded Chocolate Bar"/>
    <s v="Festive"/>
    <n v="111"/>
    <n v="117"/>
    <n v="60"/>
    <n v="168"/>
    <n v="42"/>
    <s v="Premium Foods"/>
    <n v="7056"/>
    <n v="195"/>
    <n v="0.30769230769230771"/>
  </r>
  <r>
    <s v="P035"/>
    <s v="Velvet Truffle Bites"/>
    <s v="Cookies"/>
    <n v="181"/>
    <n v="108"/>
    <n v="31"/>
    <n v="258"/>
    <n v="106"/>
    <s v="Sweet Supplies"/>
    <n v="27348"/>
    <n v="310"/>
    <n v="0.1"/>
  </r>
  <r>
    <s v="P012"/>
    <s v="Cashew Delight Bites"/>
    <s v="Cookies"/>
    <n v="163"/>
    <n v="105"/>
    <n v="88"/>
    <n v="180"/>
    <n v="76"/>
    <s v="Sweet Supplies"/>
    <n v="13680"/>
    <n v="253"/>
    <n v="0.34782608695652173"/>
  </r>
  <r>
    <s v="P028"/>
    <s v="Butterscotch Crunch Bar"/>
    <s v="Bars"/>
    <n v="181"/>
    <n v="116"/>
    <n v="140"/>
    <n v="157"/>
    <n v="54"/>
    <s v="Global Cocoa"/>
    <n v="8478"/>
    <n v="259.5"/>
    <n v="0.53949903660886322"/>
  </r>
  <r>
    <s v="P031"/>
    <s v="Honey Almond Chocolate"/>
    <s v="Cookies"/>
    <n v="150"/>
    <n v="124"/>
    <n v="114"/>
    <n v="160"/>
    <n v="72"/>
    <s v="Choco World"/>
    <n v="11520"/>
    <n v="230"/>
    <n v="0.4956521739130435"/>
  </r>
  <r>
    <s v="P020"/>
    <s v="Coffee Mocha Bites"/>
    <s v="Snacks"/>
    <n v="109"/>
    <n v="65"/>
    <n v="46"/>
    <n v="128"/>
    <n v="10"/>
    <s v="Sweet Supplies"/>
    <n v="1280"/>
    <n v="173"/>
    <n v="0.26589595375722541"/>
  </r>
  <r>
    <s v="P003"/>
    <s v="Choco Crunch Cone"/>
    <s v="Bars"/>
    <n v="178"/>
    <n v="23"/>
    <n v="102"/>
    <n v="99"/>
    <n v="66"/>
    <s v="Sweet Supplies"/>
    <n v="6534"/>
    <n v="227.5"/>
    <n v="0.44835164835164837"/>
  </r>
  <r>
    <s v="P030"/>
    <s v="Royal Dryfruit Mix"/>
    <s v="Cookies"/>
    <n v="142"/>
    <n v="23"/>
    <n v="57"/>
    <n v="108"/>
    <n v="55"/>
    <s v="Premium Foods"/>
    <n v="5940"/>
    <n v="196"/>
    <n v="0.29081632653061223"/>
  </r>
  <r>
    <s v="P032"/>
    <s v="Choco Fudge Squares"/>
    <s v="Premium"/>
    <n v="181"/>
    <n v="94"/>
    <n v="167"/>
    <n v="108"/>
    <n v="85"/>
    <s v="ABC Traders"/>
    <n v="9180"/>
    <n v="235"/>
    <n v="0.71063829787234045"/>
  </r>
  <r>
    <s v="P017"/>
    <s v="Kesar Milk Chocolate"/>
    <s v="Cookies"/>
    <n v="160"/>
    <n v="42"/>
    <n v="36"/>
    <n v="166"/>
    <n v="98"/>
    <s v="Sweet Supplies"/>
    <n v="16268"/>
    <n v="243"/>
    <n v="0.14814814814814814"/>
  </r>
  <r>
    <s v="P007"/>
    <s v="Choco Aura Custom Bar"/>
    <s v="Premium"/>
    <n v="153"/>
    <n v="33"/>
    <n v="125"/>
    <n v="61"/>
    <n v="75"/>
    <s v="Choco World"/>
    <n v="4575"/>
    <n v="183.5"/>
    <n v="0.68119891008174382"/>
  </r>
  <r>
    <s v="P038"/>
    <s v="Choco Biscuit Pops"/>
    <s v="Premium"/>
    <n v="168"/>
    <n v="139"/>
    <n v="70"/>
    <n v="237"/>
    <n v="63"/>
    <s v="Sweet Supplies"/>
    <n v="14931"/>
    <n v="286.5"/>
    <n v="0.24432809773123909"/>
  </r>
  <r>
    <s v="P036"/>
    <s v="Classic Dark Chocolate"/>
    <s v="Cookies"/>
    <n v="194"/>
    <n v="127"/>
    <n v="128"/>
    <n v="193"/>
    <n v="69"/>
    <s v="Choco World"/>
    <n v="13317"/>
    <n v="290.5"/>
    <n v="0.44061962134251292"/>
  </r>
  <r>
    <s v="P037"/>
    <s v="Golden Caramel Bites"/>
    <s v="Snacks"/>
    <n v="146"/>
    <n v="46"/>
    <n v="180"/>
    <n v="12"/>
    <n v="105"/>
    <s v="Sweet Supplies"/>
    <n v="1260"/>
    <n v="152"/>
    <n v="1.1842105263157894"/>
  </r>
  <r>
    <s v="P010"/>
    <s v="Dry Fruit Special Chocolate"/>
    <s v="Bars"/>
    <n v="134"/>
    <n v="146"/>
    <n v="148"/>
    <n v="132"/>
    <n v="94"/>
    <s v="Premium Foods"/>
    <n v="12408"/>
    <n v="200"/>
    <n v="0.74"/>
  </r>
  <r>
    <s v="P027"/>
    <s v="Premium Cocoa Slabs"/>
    <s v="Bars"/>
    <n v="128"/>
    <n v="71"/>
    <n v="75"/>
    <n v="124"/>
    <n v="92"/>
    <s v="ABC Traders"/>
    <n v="11408"/>
    <n v="190"/>
    <n v="0.39473684210526316"/>
  </r>
  <r>
    <s v="P030"/>
    <s v="Royal Dryfruit Mix"/>
    <s v="Cookies"/>
    <n v="90"/>
    <n v="73"/>
    <n v="40"/>
    <n v="123"/>
    <n v="55"/>
    <s v="Choco World"/>
    <n v="6765"/>
    <n v="151.5"/>
    <n v="0.264026402640264"/>
  </r>
  <r>
    <s v="P002"/>
    <s v="Kunafa Bites"/>
    <s v="Premium"/>
    <n v="106"/>
    <n v="62"/>
    <n v="153"/>
    <n v="15"/>
    <n v="96"/>
    <s v="Choco World"/>
    <n v="1440"/>
    <n v="113.5"/>
    <n v="1.3480176211453745"/>
  </r>
  <r>
    <s v="P021"/>
    <s v="Orange Zest Chocolate"/>
    <s v="Premium"/>
    <n v="86"/>
    <n v="73"/>
    <n v="136"/>
    <n v="23"/>
    <n v="43"/>
    <s v="Choco World"/>
    <n v="989"/>
    <n v="97.5"/>
    <n v="1.3948717948717948"/>
  </r>
  <r>
    <s v="P007"/>
    <s v="Choco Aura Custom Bar"/>
    <s v="Premium"/>
    <n v="130"/>
    <n v="107"/>
    <n v="135"/>
    <n v="102"/>
    <n v="75"/>
    <s v="Premium Foods"/>
    <n v="7650"/>
    <n v="181"/>
    <n v="0.7458563535911602"/>
  </r>
  <r>
    <s v="P007"/>
    <s v="Choco Aura Custom Bar"/>
    <s v="Premium"/>
    <n v="181"/>
    <n v="109"/>
    <n v="146"/>
    <n v="144"/>
    <n v="75"/>
    <s v="Choco World"/>
    <n v="10800"/>
    <n v="253"/>
    <n v="0.57707509881422925"/>
  </r>
  <r>
    <s v="P023"/>
    <s v="Coconut Delight Bar"/>
    <s v="Snacks"/>
    <n v="179"/>
    <n v="114"/>
    <n v="48"/>
    <n v="245"/>
    <n v="11"/>
    <s v="Choco World"/>
    <n v="2695"/>
    <n v="301.5"/>
    <n v="0.15920398009950248"/>
  </r>
  <r>
    <s v="P025"/>
    <s v="Berry Blast Chocolate"/>
    <s v="Festive"/>
    <n v="54"/>
    <n v="78"/>
    <n v="136"/>
    <n v="-4"/>
    <n v="113"/>
    <s v="Global Cocoa"/>
    <n v="-452"/>
    <n v="52"/>
    <n v="2.6153846153846154"/>
  </r>
  <r>
    <s v="P001"/>
    <s v="Choco Pie Popstick"/>
    <s v="Snacks"/>
    <n v="105"/>
    <n v="95"/>
    <n v="145"/>
    <n v="55"/>
    <n v="46"/>
    <s v="Premium Foods"/>
    <n v="2530"/>
    <n v="132.5"/>
    <n v="1.0943396226415094"/>
  </r>
  <r>
    <s v="P003"/>
    <s v="Choco Crunch Cone"/>
    <s v="Bars"/>
    <n v="98"/>
    <n v="32"/>
    <n v="117"/>
    <n v="13"/>
    <n v="66"/>
    <s v="Choco World"/>
    <n v="858"/>
    <n v="104.5"/>
    <n v="1.1196172248803828"/>
  </r>
  <r>
    <s v="P008"/>
    <s v="Hazelnut Praline Chocolate"/>
    <s v="Premium"/>
    <n v="79"/>
    <n v="76"/>
    <n v="84"/>
    <n v="71"/>
    <n v="46"/>
    <s v="ABC Traders"/>
    <n v="3266"/>
    <n v="114.5"/>
    <n v="0.73362445414847166"/>
  </r>
  <r>
    <s v="P003"/>
    <s v="Choco Crunch Cone"/>
    <s v="Bars"/>
    <n v="176"/>
    <n v="59"/>
    <n v="75"/>
    <n v="160"/>
    <n v="66"/>
    <s v="Premium Foods"/>
    <n v="10560"/>
    <n v="256"/>
    <n v="0.29296875"/>
  </r>
  <r>
    <s v="P006"/>
    <s v="Love Loaded Chocolate Bar"/>
    <s v="Festive"/>
    <n v="52"/>
    <n v="78"/>
    <n v="178"/>
    <n v="-48"/>
    <n v="42"/>
    <s v="Premium Foods"/>
    <n v="-2016"/>
    <n v="28"/>
    <n v="6.3571428571428568"/>
  </r>
  <r>
    <s v="P022"/>
    <s v="Mint Choco Squares"/>
    <s v="Festive"/>
    <n v="196"/>
    <n v="46"/>
    <n v="157"/>
    <n v="85"/>
    <n v="61"/>
    <s v="ABC Traders"/>
    <n v="5185"/>
    <n v="238.5"/>
    <n v="0.65828092243186587"/>
  </r>
  <r>
    <s v="P004"/>
    <s v="Duo Choco Bites"/>
    <s v="Bars"/>
    <n v="73"/>
    <n v="88"/>
    <n v="153"/>
    <n v="8"/>
    <n v="75"/>
    <s v="Choco World"/>
    <n v="600"/>
    <n v="77"/>
    <n v="1.9870129870129871"/>
  </r>
  <r>
    <s v="P007"/>
    <s v="Choco Aura Custom Bar"/>
    <s v="Premium"/>
    <n v="146"/>
    <n v="117"/>
    <n v="46"/>
    <n v="217"/>
    <n v="75"/>
    <s v="Choco World"/>
    <n v="16275"/>
    <n v="254.5"/>
    <n v="0.18074656188605109"/>
  </r>
  <r>
    <s v="P019"/>
    <s v="White Chocolate Truffle"/>
    <s v="Bars"/>
    <n v="127"/>
    <n v="97"/>
    <n v="70"/>
    <n v="154"/>
    <n v="21"/>
    <s v="Premium Foods"/>
    <n v="3234"/>
    <n v="204"/>
    <n v="0.34313725490196079"/>
  </r>
  <r>
    <s v="P009"/>
    <s v="Rose Pista Chocolate"/>
    <s v="Festive"/>
    <n v="56"/>
    <n v="100"/>
    <n v="91"/>
    <n v="65"/>
    <n v="72"/>
    <s v="ABC Traders"/>
    <n v="4680"/>
    <n v="88.5"/>
    <n v="1.0282485875706215"/>
  </r>
  <r>
    <s v="P005"/>
    <s v="Choco Dip Cookie"/>
    <s v="Premium"/>
    <n v="64"/>
    <n v="122"/>
    <n v="137"/>
    <n v="49"/>
    <n v="40"/>
    <s v="Sweet Supplies"/>
    <n v="1960"/>
    <n v="88.5"/>
    <n v="1.5480225988700564"/>
  </r>
  <r>
    <s v="P025"/>
    <s v="Berry Blast Chocolate"/>
    <s v="Festive"/>
    <n v="176"/>
    <n v="23"/>
    <n v="172"/>
    <n v="27"/>
    <n v="113"/>
    <s v="Choco World"/>
    <n v="3051"/>
    <n v="189.5"/>
    <n v="0.90765171503957787"/>
  </r>
  <r>
    <s v="P021"/>
    <s v="Orange Zest Chocolate"/>
    <s v="Premium"/>
    <n v="104"/>
    <n v="93"/>
    <n v="96"/>
    <n v="101"/>
    <n v="43"/>
    <s v="ABC Traders"/>
    <n v="4343"/>
    <n v="154.5"/>
    <n v="0.62135922330097082"/>
  </r>
  <r>
    <s v="P014"/>
    <s v="Dark Fantasy Squares"/>
    <s v="Snacks"/>
    <n v="115"/>
    <n v="102"/>
    <n v="70"/>
    <n v="147"/>
    <n v="20"/>
    <s v="Global Cocoa"/>
    <n v="2940"/>
    <n v="188.5"/>
    <n v="0.3713527851458886"/>
  </r>
  <r>
    <s v="P031"/>
    <s v="Honey Almond Chocolate"/>
    <s v="Cookies"/>
    <n v="137"/>
    <n v="104"/>
    <n v="149"/>
    <n v="92"/>
    <n v="72"/>
    <s v="Premium Foods"/>
    <n v="6624"/>
    <n v="183"/>
    <n v="0.81420765027322406"/>
  </r>
  <r>
    <s v="P039"/>
    <s v="Luxury Praline Box"/>
    <s v="Festive"/>
    <n v="183"/>
    <n v="30"/>
    <n v="62"/>
    <n v="151"/>
    <n v="118"/>
    <s v="ABC Traders"/>
    <n v="17818"/>
    <n v="258.5"/>
    <n v="0.23984526112185686"/>
  </r>
  <r>
    <s v="P024"/>
    <s v="Crunchy Wafer Chocolate"/>
    <s v="Bars"/>
    <n v="185"/>
    <n v="60"/>
    <n v="173"/>
    <n v="72"/>
    <n v="88"/>
    <s v="Choco World"/>
    <n v="6336"/>
    <n v="221"/>
    <n v="0.78280542986425339"/>
  </r>
  <r>
    <s v="P026"/>
    <s v="Silk Ganache Cubes"/>
    <s v="Festive"/>
    <n v="59"/>
    <n v="124"/>
    <n v="82"/>
    <n v="101"/>
    <n v="42"/>
    <s v="ABC Traders"/>
    <n v="4242"/>
    <n v="109.5"/>
    <n v="0.74885844748858443"/>
  </r>
  <r>
    <s v="P016"/>
    <s v="Nutella Filled Bites"/>
    <s v="Cookies"/>
    <n v="185"/>
    <n v="103"/>
    <n v="53"/>
    <n v="235"/>
    <n v="24"/>
    <s v="ABC Traders"/>
    <n v="5640"/>
    <n v="302.5"/>
    <n v="0.17520661157024794"/>
  </r>
  <r>
    <s v="P013"/>
    <s v="Pistachio Fusion Chocolate"/>
    <s v="Cookies"/>
    <n v="191"/>
    <n v="30"/>
    <n v="91"/>
    <n v="130"/>
    <n v="101"/>
    <s v="Choco World"/>
    <n v="13130"/>
    <n v="256"/>
    <n v="0.35546875"/>
  </r>
  <r>
    <s v="P031"/>
    <s v="Honey Almond Chocolate"/>
    <s v="Cookies"/>
    <n v="80"/>
    <n v="20"/>
    <n v="178"/>
    <n v="-78"/>
    <n v="72"/>
    <s v="Choco World"/>
    <n v="-5616"/>
    <n v="41"/>
    <n v="4.3414634146341466"/>
  </r>
  <r>
    <s v="P026"/>
    <s v="Silk Ganache Cubes"/>
    <s v="Festive"/>
    <n v="69"/>
    <n v="95"/>
    <n v="117"/>
    <n v="47"/>
    <n v="42"/>
    <s v="ABC Traders"/>
    <n v="1974"/>
    <n v="92.5"/>
    <n v="1.2648648648648648"/>
  </r>
  <r>
    <s v="P029"/>
    <s v="Choco Lava Bites"/>
    <s v="Snacks"/>
    <n v="182"/>
    <n v="37"/>
    <n v="178"/>
    <n v="41"/>
    <n v="78"/>
    <s v="Global Cocoa"/>
    <n v="3198"/>
    <n v="202.5"/>
    <n v="0.87901234567901232"/>
  </r>
  <r>
    <s v="P031"/>
    <s v="Honey Almond Chocolate"/>
    <s v="Cookies"/>
    <n v="171"/>
    <n v="54"/>
    <n v="64"/>
    <n v="161"/>
    <n v="72"/>
    <s v="Global Cocoa"/>
    <n v="11592"/>
    <n v="251.5"/>
    <n v="0.25447316103379719"/>
  </r>
  <r>
    <s v="P012"/>
    <s v="Cashew Delight Bites"/>
    <s v="Cookies"/>
    <n v="192"/>
    <n v="93"/>
    <n v="31"/>
    <n v="254"/>
    <n v="76"/>
    <s v="ABC Traders"/>
    <n v="19304"/>
    <n v="319"/>
    <n v="9.7178683385579931E-2"/>
  </r>
  <r>
    <s v="P012"/>
    <s v="Cashew Delight Bites"/>
    <s v="Cookies"/>
    <n v="187"/>
    <n v="127"/>
    <n v="37"/>
    <n v="277"/>
    <n v="76"/>
    <s v="Sweet Supplies"/>
    <n v="21052"/>
    <n v="325.5"/>
    <n v="0.11367127496159754"/>
  </r>
  <r>
    <s v="P040"/>
    <s v="Festive Chocolate Pack"/>
    <s v="Festive"/>
    <n v="139"/>
    <n v="71"/>
    <n v="42"/>
    <n v="168"/>
    <n v="63"/>
    <s v="Sweet Supplies"/>
    <n v="10584"/>
    <n v="223"/>
    <n v="0.18834080717488788"/>
  </r>
  <r>
    <s v="P001"/>
    <s v="Choco Pie Popstick"/>
    <s v="Snacks"/>
    <n v="72"/>
    <n v="60"/>
    <n v="171"/>
    <n v="-39"/>
    <n v="46"/>
    <s v="ABC Traders"/>
    <n v="-1794"/>
    <n v="52.5"/>
    <n v="3.2571428571428571"/>
  </r>
  <r>
    <s v="P031"/>
    <s v="Honey Almond Chocolate"/>
    <s v="Cookies"/>
    <n v="57"/>
    <n v="149"/>
    <n v="159"/>
    <n v="47"/>
    <n v="72"/>
    <s v="ABC Traders"/>
    <n v="3384"/>
    <n v="80.5"/>
    <n v="1.9751552795031055"/>
  </r>
  <r>
    <s v="P008"/>
    <s v="Hazelnut Praline Chocolate"/>
    <s v="Premium"/>
    <n v="87"/>
    <n v="90"/>
    <n v="124"/>
    <n v="53"/>
    <n v="46"/>
    <s v="Global Cocoa"/>
    <n v="2438"/>
    <n v="113.5"/>
    <n v="1.0925110132158591"/>
  </r>
  <r>
    <s v="P023"/>
    <s v="Coconut Delight Bar"/>
    <s v="Snacks"/>
    <n v="71"/>
    <n v="92"/>
    <n v="176"/>
    <n v="-13"/>
    <n v="11"/>
    <s v="Global Cocoa"/>
    <n v="-143"/>
    <n v="64.5"/>
    <n v="2.7286821705426356"/>
  </r>
  <r>
    <s v="P001"/>
    <s v="Choco Pie Popstick"/>
    <s v="Snacks"/>
    <n v="151"/>
    <n v="51"/>
    <n v="67"/>
    <n v="135"/>
    <n v="46"/>
    <s v="Choco World"/>
    <n v="6210"/>
    <n v="218.5"/>
    <n v="0.30663615560640733"/>
  </r>
  <r>
    <s v="P008"/>
    <s v="Hazelnut Praline Chocolate"/>
    <s v="Premium"/>
    <n v="93"/>
    <n v="137"/>
    <n v="58"/>
    <n v="172"/>
    <n v="46"/>
    <s v="ABC Traders"/>
    <n v="7912"/>
    <n v="179"/>
    <n v="0.32402234636871508"/>
  </r>
  <r>
    <s v="P001"/>
    <s v="Choco Pie Popstick"/>
    <s v="Snacks"/>
    <n v="180"/>
    <n v="38"/>
    <n v="90"/>
    <n v="128"/>
    <n v="46"/>
    <s v="Global Cocoa"/>
    <n v="5888"/>
    <n v="244"/>
    <n v="0.36885245901639346"/>
  </r>
  <r>
    <s v="P037"/>
    <s v="Golden Caramel Bites"/>
    <s v="Snacks"/>
    <n v="185"/>
    <n v="32"/>
    <n v="151"/>
    <n v="66"/>
    <n v="105"/>
    <s v="ABC Traders"/>
    <n v="6930"/>
    <n v="218"/>
    <n v="0.69266055045871555"/>
  </r>
  <r>
    <s v="P018"/>
    <s v="Fruit &amp; Nut Chocolate"/>
    <s v="Snacks"/>
    <n v="96"/>
    <n v="72"/>
    <n v="52"/>
    <n v="116"/>
    <n v="93"/>
    <s v="Premium Foods"/>
    <n v="10788"/>
    <n v="154"/>
    <n v="0.33766233766233766"/>
  </r>
  <r>
    <s v="P019"/>
    <s v="White Chocolate Truffle"/>
    <s v="Bars"/>
    <n v="136"/>
    <n v="112"/>
    <n v="175"/>
    <n v="73"/>
    <n v="21"/>
    <s v="ABC Traders"/>
    <n v="1533"/>
    <n v="172.5"/>
    <n v="1.0144927536231885"/>
  </r>
  <r>
    <s v="P025"/>
    <s v="Berry Blast Chocolate"/>
    <s v="Festive"/>
    <n v="126"/>
    <n v="68"/>
    <n v="81"/>
    <n v="113"/>
    <n v="113"/>
    <s v="ABC Traders"/>
    <n v="12769"/>
    <n v="182.5"/>
    <n v="0.44383561643835617"/>
  </r>
  <r>
    <s v="P025"/>
    <s v="Berry Blast Chocolate"/>
    <s v="Festive"/>
    <n v="98"/>
    <n v="63"/>
    <n v="162"/>
    <n v="-1"/>
    <n v="113"/>
    <s v="Global Cocoa"/>
    <n v="-113"/>
    <n v="97.5"/>
    <n v="1.6615384615384616"/>
  </r>
  <r>
    <s v="P033"/>
    <s v="Milk Chocolate Coins"/>
    <s v="Cookies"/>
    <n v="137"/>
    <n v="37"/>
    <n v="92"/>
    <n v="82"/>
    <n v="13"/>
    <s v="Premium Foods"/>
    <n v="1066"/>
    <n v="178"/>
    <n v="0.5168539325842697"/>
  </r>
  <r>
    <s v="P021"/>
    <s v="Orange Zest Chocolate"/>
    <s v="Premium"/>
    <n v="156"/>
    <n v="82"/>
    <n v="105"/>
    <n v="133"/>
    <n v="43"/>
    <s v="Global Cocoa"/>
    <n v="5719"/>
    <n v="222.5"/>
    <n v="0.47191011235955055"/>
  </r>
  <r>
    <s v="P022"/>
    <s v="Mint Choco Squares"/>
    <s v="Festive"/>
    <n v="156"/>
    <n v="43"/>
    <n v="170"/>
    <n v="29"/>
    <n v="61"/>
    <s v="ABC Traders"/>
    <n v="1769"/>
    <n v="170.5"/>
    <n v="0.99706744868035191"/>
  </r>
  <r>
    <s v="P039"/>
    <s v="Luxury Praline Box"/>
    <s v="Festive"/>
    <n v="157"/>
    <n v="138"/>
    <n v="175"/>
    <n v="120"/>
    <n v="118"/>
    <s v="ABC Traders"/>
    <n v="14160"/>
    <n v="217"/>
    <n v="0.80645161290322576"/>
  </r>
  <r>
    <s v="P031"/>
    <s v="Honey Almond Chocolate"/>
    <s v="Cookies"/>
    <n v="157"/>
    <n v="123"/>
    <n v="115"/>
    <n v="165"/>
    <n v="72"/>
    <s v="Premium Foods"/>
    <n v="11880"/>
    <n v="239.5"/>
    <n v="0.4801670146137787"/>
  </r>
  <r>
    <s v="P016"/>
    <s v="Nutella Filled Bites"/>
    <s v="Cookies"/>
    <n v="136"/>
    <n v="91"/>
    <n v="70"/>
    <n v="157"/>
    <n v="24"/>
    <s v="Choco World"/>
    <n v="3768"/>
    <n v="214.5"/>
    <n v="0.32634032634032634"/>
  </r>
  <r>
    <s v="P030"/>
    <s v="Royal Dryfruit Mix"/>
    <s v="Cookies"/>
    <n v="99"/>
    <n v="76"/>
    <n v="174"/>
    <n v="1"/>
    <n v="55"/>
    <s v="ABC Traders"/>
    <n v="55"/>
    <n v="99.5"/>
    <n v="1.7487437185929648"/>
  </r>
  <r>
    <s v="P002"/>
    <s v="Kunafa Bites"/>
    <s v="Premium"/>
    <n v="166"/>
    <n v="77"/>
    <n v="51"/>
    <n v="192"/>
    <n v="96"/>
    <s v="Choco World"/>
    <n v="18432"/>
    <n v="262"/>
    <n v="0.19465648854961831"/>
  </r>
  <r>
    <s v="P013"/>
    <s v="Pistachio Fusion Chocolate"/>
    <s v="Cookies"/>
    <n v="56"/>
    <n v="130"/>
    <n v="130"/>
    <n v="56"/>
    <n v="101"/>
    <s v="Choco World"/>
    <n v="5656"/>
    <n v="84"/>
    <n v="1.5476190476190477"/>
  </r>
  <r>
    <s v="P023"/>
    <s v="Coconut Delight Bar"/>
    <s v="Snacks"/>
    <n v="116"/>
    <n v="119"/>
    <n v="174"/>
    <n v="61"/>
    <n v="11"/>
    <s v="Choco World"/>
    <n v="671"/>
    <n v="146.5"/>
    <n v="1.1877133105802047"/>
  </r>
  <r>
    <s v="P002"/>
    <s v="Kunafa Bites"/>
    <s v="Premium"/>
    <n v="70"/>
    <n v="80"/>
    <n v="62"/>
    <n v="88"/>
    <n v="96"/>
    <s v="Premium Foods"/>
    <n v="8448"/>
    <n v="114"/>
    <n v="0.54385964912280704"/>
  </r>
  <r>
    <s v="P024"/>
    <s v="Crunchy Wafer Chocolate"/>
    <s v="Bars"/>
    <n v="176"/>
    <n v="128"/>
    <n v="114"/>
    <n v="190"/>
    <n v="88"/>
    <s v="Premium Foods"/>
    <n v="16720"/>
    <n v="271"/>
    <n v="0.42066420664206644"/>
  </r>
  <r>
    <s v="P037"/>
    <s v="Golden Caramel Bites"/>
    <s v="Snacks"/>
    <n v="126"/>
    <n v="51"/>
    <n v="51"/>
    <n v="126"/>
    <n v="105"/>
    <s v="Global Cocoa"/>
    <n v="13230"/>
    <n v="189"/>
    <n v="0.26984126984126983"/>
  </r>
  <r>
    <s v="P034"/>
    <s v="Signature Cocoa Bars"/>
    <s v="Cookies"/>
    <n v="136"/>
    <n v="39"/>
    <n v="141"/>
    <n v="34"/>
    <n v="96"/>
    <s v="Global Cocoa"/>
    <n v="3264"/>
    <n v="153"/>
    <n v="0.92156862745098034"/>
  </r>
  <r>
    <s v="P005"/>
    <s v="Choco Dip Cookie"/>
    <s v="Premium"/>
    <n v="157"/>
    <n v="29"/>
    <n v="149"/>
    <n v="37"/>
    <n v="40"/>
    <s v="Choco World"/>
    <n v="1480"/>
    <n v="175.5"/>
    <n v="0.84900284900284906"/>
  </r>
  <r>
    <s v="P018"/>
    <s v="Fruit &amp; Nut Chocolate"/>
    <s v="Snacks"/>
    <n v="102"/>
    <n v="149"/>
    <n v="168"/>
    <n v="83"/>
    <n v="93"/>
    <s v="Sweet Supplies"/>
    <n v="7719"/>
    <n v="143.5"/>
    <n v="1.1707317073170731"/>
  </r>
  <r>
    <s v="P038"/>
    <s v="Choco Biscuit Pops"/>
    <s v="Premium"/>
    <n v="169"/>
    <n v="32"/>
    <n v="74"/>
    <n v="127"/>
    <n v="63"/>
    <s v="Choco World"/>
    <n v="8001"/>
    <n v="232.5"/>
    <n v="0.31827956989247314"/>
  </r>
  <r>
    <s v="P001"/>
    <s v="Choco Pie Popstick"/>
    <s v="Snacks"/>
    <n v="84"/>
    <n v="52"/>
    <n v="55"/>
    <n v="81"/>
    <n v="46"/>
    <s v="ABC Traders"/>
    <n v="3726"/>
    <n v="124.5"/>
    <n v="0.44176706827309237"/>
  </r>
  <r>
    <s v="P019"/>
    <s v="White Chocolate Truffle"/>
    <s v="Bars"/>
    <n v="150"/>
    <n v="22"/>
    <n v="114"/>
    <n v="58"/>
    <n v="21"/>
    <s v="Global Cocoa"/>
    <n v="1218"/>
    <n v="179"/>
    <n v="0.63687150837988826"/>
  </r>
  <r>
    <s v="P012"/>
    <s v="Cashew Delight Bites"/>
    <s v="Cookies"/>
    <n v="55"/>
    <n v="61"/>
    <n v="41"/>
    <n v="75"/>
    <n v="76"/>
    <s v="Choco World"/>
    <n v="5700"/>
    <n v="92.5"/>
    <n v="0.44324324324324327"/>
  </r>
  <r>
    <s v="P015"/>
    <s v="Caramel Crunch Cubes"/>
    <s v="Festive"/>
    <n v="131"/>
    <n v="67"/>
    <n v="30"/>
    <n v="168"/>
    <n v="63"/>
    <s v="ABC Traders"/>
    <n v="10584"/>
    <n v="215"/>
    <n v="0.13953488372093023"/>
  </r>
  <r>
    <s v="P026"/>
    <s v="Silk Ganache Cubes"/>
    <s v="Festive"/>
    <n v="89"/>
    <n v="110"/>
    <n v="135"/>
    <n v="64"/>
    <n v="42"/>
    <s v="Sweet Supplies"/>
    <n v="2688"/>
    <n v="121"/>
    <n v="1.115702479338843"/>
  </r>
  <r>
    <s v="P002"/>
    <s v="Kunafa Bites"/>
    <s v="Premium"/>
    <n v="104"/>
    <n v="44"/>
    <n v="144"/>
    <n v="4"/>
    <n v="96"/>
    <s v="Premium Foods"/>
    <n v="384"/>
    <n v="106"/>
    <n v="1.3584905660377358"/>
  </r>
  <r>
    <s v="P022"/>
    <s v="Mint Choco Squares"/>
    <s v="Festive"/>
    <n v="175"/>
    <n v="34"/>
    <n v="146"/>
    <n v="63"/>
    <n v="61"/>
    <s v="Sweet Supplies"/>
    <n v="3843"/>
    <n v="206.5"/>
    <n v="0.70702179176755453"/>
  </r>
  <r>
    <s v="P024"/>
    <s v="Crunchy Wafer Chocolate"/>
    <s v="Bars"/>
    <n v="155"/>
    <n v="20"/>
    <n v="73"/>
    <n v="102"/>
    <n v="88"/>
    <s v="Premium Foods"/>
    <n v="8976"/>
    <n v="206"/>
    <n v="0.35436893203883496"/>
  </r>
  <r>
    <s v="P036"/>
    <s v="Classic Dark Chocolate"/>
    <s v="Cookies"/>
    <n v="55"/>
    <n v="48"/>
    <n v="160"/>
    <n v="-57"/>
    <n v="69"/>
    <s v="Choco World"/>
    <n v="-3933"/>
    <n v="26.5"/>
    <n v="6.0377358490566042"/>
  </r>
  <r>
    <s v="P013"/>
    <s v="Pistachio Fusion Chocolate"/>
    <s v="Cookies"/>
    <n v="163"/>
    <n v="85"/>
    <n v="106"/>
    <n v="142"/>
    <n v="101"/>
    <s v="Sweet Supplies"/>
    <n v="14342"/>
    <n v="234"/>
    <n v="0.45299145299145299"/>
  </r>
  <r>
    <s v="P030"/>
    <s v="Royal Dryfruit Mix"/>
    <s v="Cookies"/>
    <n v="51"/>
    <n v="70"/>
    <n v="112"/>
    <n v="9"/>
    <n v="55"/>
    <s v="Global Cocoa"/>
    <n v="495"/>
    <n v="55.5"/>
    <n v="2.0180180180180178"/>
  </r>
  <r>
    <s v="P029"/>
    <s v="Choco Lava Bites"/>
    <s v="Snacks"/>
    <n v="144"/>
    <n v="32"/>
    <n v="71"/>
    <n v="105"/>
    <n v="78"/>
    <s v="Global Cocoa"/>
    <n v="8190"/>
    <n v="196.5"/>
    <n v="0.361323155216285"/>
  </r>
  <r>
    <s v="P014"/>
    <s v="Dark Fantasy Squares"/>
    <s v="Snacks"/>
    <n v="99"/>
    <n v="82"/>
    <n v="154"/>
    <n v="27"/>
    <n v="20"/>
    <s v="Premium Foods"/>
    <n v="540"/>
    <n v="112.5"/>
    <n v="1.3688888888888888"/>
  </r>
  <r>
    <s v="P009"/>
    <s v="Rose Pista Chocolate"/>
    <s v="Festive"/>
    <n v="143"/>
    <n v="51"/>
    <n v="170"/>
    <n v="24"/>
    <n v="72"/>
    <s v="ABC Traders"/>
    <n v="1728"/>
    <n v="155"/>
    <n v="1.096774193548387"/>
  </r>
  <r>
    <s v="P026"/>
    <s v="Silk Ganache Cubes"/>
    <s v="Festive"/>
    <n v="64"/>
    <n v="67"/>
    <n v="173"/>
    <n v="-42"/>
    <n v="42"/>
    <s v="Choco World"/>
    <n v="-1764"/>
    <n v="43"/>
    <n v="4.0232558139534884"/>
  </r>
  <r>
    <s v="P017"/>
    <s v="Kesar Milk Chocolate"/>
    <s v="Cookies"/>
    <n v="136"/>
    <n v="38"/>
    <n v="121"/>
    <n v="53"/>
    <n v="98"/>
    <s v="Premium Foods"/>
    <n v="5194"/>
    <n v="162.5"/>
    <n v="0.74461538461538457"/>
  </r>
  <r>
    <s v="P012"/>
    <s v="Cashew Delight Bites"/>
    <s v="Cookies"/>
    <n v="115"/>
    <n v="74"/>
    <n v="105"/>
    <n v="84"/>
    <n v="76"/>
    <s v="Premium Foods"/>
    <n v="6384"/>
    <n v="157"/>
    <n v="0.66878980891719741"/>
  </r>
  <r>
    <s v="P005"/>
    <s v="Choco Dip Cookie"/>
    <s v="Premium"/>
    <n v="179"/>
    <n v="47"/>
    <n v="148"/>
    <n v="78"/>
    <n v="40"/>
    <s v="Sweet Supplies"/>
    <n v="3120"/>
    <n v="218"/>
    <n v="0.67889908256880738"/>
  </r>
  <r>
    <s v="P034"/>
    <s v="Signature Cocoa Bars"/>
    <s v="Cookies"/>
    <n v="177"/>
    <n v="148"/>
    <n v="86"/>
    <n v="239"/>
    <n v="96"/>
    <s v="Choco World"/>
    <n v="22944"/>
    <n v="296.5"/>
    <n v="0.2900505902192243"/>
  </r>
  <r>
    <s v="P020"/>
    <s v="Coffee Mocha Bites"/>
    <s v="Snacks"/>
    <n v="175"/>
    <n v="31"/>
    <n v="95"/>
    <n v="111"/>
    <n v="10"/>
    <s v="ABC Traders"/>
    <n v="1110"/>
    <n v="230.5"/>
    <n v="0.4121475054229935"/>
  </r>
  <r>
    <s v="P018"/>
    <s v="Fruit &amp; Nut Chocolate"/>
    <s v="Snacks"/>
    <n v="59"/>
    <n v="114"/>
    <n v="106"/>
    <n v="67"/>
    <n v="93"/>
    <s v="Choco World"/>
    <n v="6231"/>
    <n v="92.5"/>
    <n v="1.145945945945946"/>
  </r>
  <r>
    <s v="P027"/>
    <s v="Premium Cocoa Slabs"/>
    <s v="Bars"/>
    <n v="58"/>
    <n v="83"/>
    <n v="82"/>
    <n v="59"/>
    <n v="92"/>
    <s v="Global Cocoa"/>
    <n v="5428"/>
    <n v="87.5"/>
    <n v="0.93714285714285717"/>
  </r>
  <r>
    <s v="P019"/>
    <s v="White Chocolate Truffle"/>
    <s v="Bars"/>
    <n v="157"/>
    <n v="149"/>
    <n v="48"/>
    <n v="258"/>
    <n v="21"/>
    <s v="Choco World"/>
    <n v="5418"/>
    <n v="286"/>
    <n v="0.16783216783216784"/>
  </r>
  <r>
    <s v="P001"/>
    <s v="Choco Pie Popstick"/>
    <s v="Snacks"/>
    <n v="164"/>
    <n v="70"/>
    <n v="166"/>
    <n v="68"/>
    <n v="46"/>
    <s v="Sweet Supplies"/>
    <n v="3128"/>
    <n v="198"/>
    <n v="0.83838383838383834"/>
  </r>
  <r>
    <s v="P022"/>
    <s v="Mint Choco Squares"/>
    <s v="Festive"/>
    <n v="83"/>
    <n v="59"/>
    <n v="158"/>
    <n v="-16"/>
    <n v="61"/>
    <s v="Sweet Supplies"/>
    <n v="-976"/>
    <n v="75"/>
    <n v="2.1066666666666665"/>
  </r>
  <r>
    <s v="P033"/>
    <s v="Milk Chocolate Coins"/>
    <s v="Cookies"/>
    <n v="143"/>
    <n v="144"/>
    <n v="73"/>
    <n v="214"/>
    <n v="13"/>
    <s v="Choco World"/>
    <n v="2782"/>
    <n v="250"/>
    <n v="0.29199999999999998"/>
  </r>
  <r>
    <s v="P031"/>
    <s v="Honey Almond Chocolate"/>
    <s v="Cookies"/>
    <n v="103"/>
    <n v="74"/>
    <n v="167"/>
    <n v="10"/>
    <n v="72"/>
    <s v="Sweet Supplies"/>
    <n v="720"/>
    <n v="108"/>
    <n v="1.5462962962962963"/>
  </r>
  <r>
    <s v="P006"/>
    <s v="Love Loaded Chocolate Bar"/>
    <s v="Festive"/>
    <n v="181"/>
    <n v="21"/>
    <n v="128"/>
    <n v="74"/>
    <n v="42"/>
    <s v="Global Cocoa"/>
    <n v="3108"/>
    <n v="218"/>
    <n v="0.58715596330275233"/>
  </r>
  <r>
    <s v="P020"/>
    <s v="Coffee Mocha Bites"/>
    <s v="Snacks"/>
    <n v="164"/>
    <n v="90"/>
    <n v="70"/>
    <n v="184"/>
    <n v="10"/>
    <s v="Global Cocoa"/>
    <n v="1840"/>
    <n v="256"/>
    <n v="0.2734375"/>
  </r>
  <r>
    <s v="P019"/>
    <s v="White Chocolate Truffle"/>
    <s v="Bars"/>
    <n v="106"/>
    <n v="22"/>
    <n v="145"/>
    <n v="-17"/>
    <n v="21"/>
    <s v="Global Cocoa"/>
    <n v="-357"/>
    <n v="97.5"/>
    <n v="1.4871794871794872"/>
  </r>
  <r>
    <s v="P011"/>
    <s v="Almond Crunch Bar"/>
    <s v="Bars"/>
    <n v="129"/>
    <n v="45"/>
    <n v="177"/>
    <n v="-3"/>
    <n v="59"/>
    <s v="ABC Traders"/>
    <n v="-177"/>
    <n v="127.5"/>
    <n v="1.388235294117647"/>
  </r>
  <r>
    <s v="P035"/>
    <s v="Velvet Truffle Bites"/>
    <s v="Cookies"/>
    <n v="111"/>
    <n v="95"/>
    <n v="107"/>
    <n v="99"/>
    <n v="106"/>
    <s v="Global Cocoa"/>
    <n v="10494"/>
    <n v="160.5"/>
    <n v="0.66666666666666663"/>
  </r>
  <r>
    <s v="P024"/>
    <s v="Crunchy Wafer Chocolate"/>
    <s v="Bars"/>
    <n v="70"/>
    <n v="75"/>
    <n v="58"/>
    <n v="87"/>
    <n v="88"/>
    <s v="Sweet Supplies"/>
    <n v="7656"/>
    <n v="113.5"/>
    <n v="0.51101321585903081"/>
  </r>
  <r>
    <s v="P032"/>
    <s v="Choco Fudge Squares"/>
    <s v="Premium"/>
    <n v="82"/>
    <n v="109"/>
    <n v="119"/>
    <n v="72"/>
    <n v="85"/>
    <s v="Sweet Supplies"/>
    <n v="6120"/>
    <n v="118"/>
    <n v="1.0084745762711864"/>
  </r>
  <r>
    <s v="P012"/>
    <s v="Cashew Delight Bites"/>
    <s v="Cookies"/>
    <n v="67"/>
    <n v="23"/>
    <n v="165"/>
    <n v="-75"/>
    <n v="76"/>
    <s v="Premium Foods"/>
    <n v="-5700"/>
    <n v="29.5"/>
    <n v="5.593220338983051"/>
  </r>
  <r>
    <s v="P011"/>
    <s v="Almond Crunch Bar"/>
    <s v="Bars"/>
    <n v="72"/>
    <n v="52"/>
    <n v="74"/>
    <n v="50"/>
    <n v="59"/>
    <s v="Premium Foods"/>
    <n v="2950"/>
    <n v="97"/>
    <n v="0.76288659793814428"/>
  </r>
  <r>
    <s v="P008"/>
    <s v="Hazelnut Praline Chocolate"/>
    <s v="Premium"/>
    <n v="67"/>
    <n v="119"/>
    <n v="176"/>
    <n v="10"/>
    <n v="46"/>
    <s v="ABC Traders"/>
    <n v="460"/>
    <n v="72"/>
    <n v="2.4444444444444446"/>
  </r>
  <r>
    <s v="P004"/>
    <s v="Duo Choco Bites"/>
    <s v="Bars"/>
    <n v="187"/>
    <n v="49"/>
    <n v="85"/>
    <n v="151"/>
    <n v="75"/>
    <s v="Premium Foods"/>
    <n v="11325"/>
    <n v="262.5"/>
    <n v="0.32380952380952382"/>
  </r>
  <r>
    <s v="P029"/>
    <s v="Choco Lava Bites"/>
    <s v="Snacks"/>
    <n v="188"/>
    <n v="35"/>
    <n v="57"/>
    <n v="166"/>
    <n v="78"/>
    <s v="Premium Foods"/>
    <n v="12948"/>
    <n v="271"/>
    <n v="0.21033210332103322"/>
  </r>
  <r>
    <s v="P022"/>
    <s v="Mint Choco Squares"/>
    <s v="Festive"/>
    <n v="115"/>
    <n v="72"/>
    <n v="59"/>
    <n v="128"/>
    <n v="61"/>
    <s v="Choco World"/>
    <n v="7808"/>
    <n v="179"/>
    <n v="0.32960893854748602"/>
  </r>
  <r>
    <s v="P002"/>
    <s v="Kunafa Bites"/>
    <s v="Premium"/>
    <n v="156"/>
    <n v="62"/>
    <n v="131"/>
    <n v="87"/>
    <n v="96"/>
    <s v="Premium Foods"/>
    <n v="8352"/>
    <n v="199.5"/>
    <n v="0.65664160401002503"/>
  </r>
  <r>
    <s v="P029"/>
    <s v="Choco Lava Bites"/>
    <s v="Snacks"/>
    <n v="51"/>
    <n v="70"/>
    <n v="84"/>
    <n v="37"/>
    <n v="78"/>
    <s v="Global Cocoa"/>
    <n v="2886"/>
    <n v="69.5"/>
    <n v="1.2086330935251799"/>
  </r>
  <r>
    <s v="P004"/>
    <s v="Duo Choco Bites"/>
    <s v="Bars"/>
    <n v="53"/>
    <n v="73"/>
    <n v="36"/>
    <n v="90"/>
    <n v="75"/>
    <s v="ABC Traders"/>
    <n v="6750"/>
    <n v="98"/>
    <n v="0.36734693877551022"/>
  </r>
  <r>
    <s v="P039"/>
    <s v="Luxury Praline Box"/>
    <s v="Festive"/>
    <n v="66"/>
    <n v="129"/>
    <n v="157"/>
    <n v="38"/>
    <n v="118"/>
    <s v="Sweet Supplies"/>
    <n v="4484"/>
    <n v="85"/>
    <n v="1.8470588235294119"/>
  </r>
  <r>
    <s v="P033"/>
    <s v="Milk Chocolate Coins"/>
    <s v="Cookies"/>
    <n v="185"/>
    <n v="106"/>
    <n v="44"/>
    <n v="247"/>
    <n v="13"/>
    <s v="Choco World"/>
    <n v="3211"/>
    <n v="308.5"/>
    <n v="0.14262560777957861"/>
  </r>
  <r>
    <s v="P026"/>
    <s v="Silk Ganache Cubes"/>
    <s v="Festive"/>
    <n v="82"/>
    <n v="32"/>
    <n v="58"/>
    <n v="56"/>
    <n v="42"/>
    <s v="Choco World"/>
    <n v="2352"/>
    <n v="110"/>
    <n v="0.52727272727272723"/>
  </r>
  <r>
    <s v="P020"/>
    <s v="Coffee Mocha Bites"/>
    <s v="Snacks"/>
    <n v="191"/>
    <n v="58"/>
    <n v="55"/>
    <n v="194"/>
    <n v="10"/>
    <s v="Global Cocoa"/>
    <n v="1940"/>
    <n v="288"/>
    <n v="0.19097222222222221"/>
  </r>
  <r>
    <s v="P028"/>
    <s v="Butterscotch Crunch Bar"/>
    <s v="Bars"/>
    <n v="121"/>
    <n v="41"/>
    <n v="153"/>
    <n v="9"/>
    <n v="54"/>
    <s v="Choco World"/>
    <n v="486"/>
    <n v="125.5"/>
    <n v="1.2191235059760956"/>
  </r>
  <r>
    <s v="P035"/>
    <s v="Velvet Truffle Bites"/>
    <s v="Cookies"/>
    <n v="169"/>
    <n v="82"/>
    <n v="174"/>
    <n v="77"/>
    <n v="106"/>
    <s v="Global Cocoa"/>
    <n v="8162"/>
    <n v="207.5"/>
    <n v="0.83855421686746989"/>
  </r>
  <r>
    <s v="P022"/>
    <s v="Mint Choco Squares"/>
    <s v="Festive"/>
    <n v="78"/>
    <n v="102"/>
    <n v="120"/>
    <n v="60"/>
    <n v="61"/>
    <s v="Global Cocoa"/>
    <n v="3660"/>
    <n v="108"/>
    <n v="1.1111111111111112"/>
  </r>
  <r>
    <s v="P026"/>
    <s v="Silk Ganache Cubes"/>
    <s v="Festive"/>
    <n v="142"/>
    <n v="145"/>
    <n v="130"/>
    <n v="157"/>
    <n v="42"/>
    <s v="Choco World"/>
    <n v="6594"/>
    <n v="220.5"/>
    <n v="0.58956916099773238"/>
  </r>
  <r>
    <s v="P015"/>
    <s v="Caramel Crunch Cubes"/>
    <s v="Festive"/>
    <n v="199"/>
    <n v="95"/>
    <n v="140"/>
    <n v="154"/>
    <n v="63"/>
    <s v="Premium Foods"/>
    <n v="9702"/>
    <n v="276"/>
    <n v="0.50724637681159424"/>
  </r>
  <r>
    <s v="P002"/>
    <s v="Kunafa Bites"/>
    <s v="Premium"/>
    <n v="103"/>
    <n v="101"/>
    <n v="173"/>
    <n v="31"/>
    <n v="96"/>
    <s v="Premium Foods"/>
    <n v="2976"/>
    <n v="118.5"/>
    <n v="1.4599156118143459"/>
  </r>
  <r>
    <s v="P010"/>
    <s v="Dry Fruit Special Chocolate"/>
    <s v="Bars"/>
    <n v="195"/>
    <n v="122"/>
    <n v="114"/>
    <n v="203"/>
    <n v="94"/>
    <s v="ABC Traders"/>
    <n v="19082"/>
    <n v="296.5"/>
    <n v="0.38448566610455309"/>
  </r>
  <r>
    <s v="P033"/>
    <s v="Milk Chocolate Coins"/>
    <s v="Cookies"/>
    <n v="114"/>
    <n v="121"/>
    <n v="146"/>
    <n v="89"/>
    <n v="13"/>
    <s v="ABC Traders"/>
    <n v="1157"/>
    <n v="158.5"/>
    <n v="0.92113564668769721"/>
  </r>
  <r>
    <s v="P009"/>
    <s v="Rose Pista Chocolate"/>
    <s v="Festive"/>
    <n v="187"/>
    <n v="102"/>
    <n v="147"/>
    <n v="142"/>
    <n v="72"/>
    <s v="Global Cocoa"/>
    <n v="10224"/>
    <n v="258"/>
    <n v="0.56976744186046513"/>
  </r>
  <r>
    <s v="P018"/>
    <s v="Fruit &amp; Nut Chocolate"/>
    <s v="Snacks"/>
    <n v="164"/>
    <n v="96"/>
    <n v="146"/>
    <n v="114"/>
    <n v="93"/>
    <s v="ABC Traders"/>
    <n v="10602"/>
    <n v="221"/>
    <n v="0.66063348416289591"/>
  </r>
  <r>
    <s v="P027"/>
    <s v="Premium Cocoa Slabs"/>
    <s v="Bars"/>
    <n v="174"/>
    <n v="144"/>
    <n v="107"/>
    <n v="211"/>
    <n v="92"/>
    <s v="Premium Foods"/>
    <n v="19412"/>
    <n v="279.5"/>
    <n v="0.38282647584973167"/>
  </r>
  <r>
    <s v="P002"/>
    <s v="Kunafa Bites"/>
    <s v="Premium"/>
    <n v="177"/>
    <n v="43"/>
    <n v="111"/>
    <n v="109"/>
    <n v="96"/>
    <s v="ABC Traders"/>
    <n v="10464"/>
    <n v="231.5"/>
    <n v="0.4794816414686825"/>
  </r>
  <r>
    <s v="P033"/>
    <s v="Milk Chocolate Coins"/>
    <s v="Cookies"/>
    <n v="66"/>
    <n v="117"/>
    <n v="53"/>
    <n v="130"/>
    <n v="13"/>
    <s v="Global Cocoa"/>
    <n v="1690"/>
    <n v="131"/>
    <n v="0.40458015267175573"/>
  </r>
  <r>
    <s v="P021"/>
    <s v="Orange Zest Chocolate"/>
    <s v="Premium"/>
    <n v="123"/>
    <n v="36"/>
    <n v="93"/>
    <n v="66"/>
    <n v="43"/>
    <s v="Choco World"/>
    <n v="2838"/>
    <n v="156"/>
    <n v="0.59615384615384615"/>
  </r>
  <r>
    <s v="P015"/>
    <s v="Caramel Crunch Cubes"/>
    <s v="Festive"/>
    <n v="114"/>
    <n v="143"/>
    <n v="120"/>
    <n v="137"/>
    <n v="63"/>
    <s v="Premium Foods"/>
    <n v="8631"/>
    <n v="182.5"/>
    <n v="0.65753424657534243"/>
  </r>
  <r>
    <s v="P008"/>
    <s v="Hazelnut Praline Chocolate"/>
    <s v="Premium"/>
    <n v="112"/>
    <n v="76"/>
    <n v="32"/>
    <n v="156"/>
    <n v="46"/>
    <s v="ABC Traders"/>
    <n v="7176"/>
    <n v="190"/>
    <n v="0.16842105263157894"/>
  </r>
  <r>
    <s v="P027"/>
    <s v="Premium Cocoa Slabs"/>
    <s v="Bars"/>
    <n v="57"/>
    <n v="80"/>
    <n v="138"/>
    <n v="-1"/>
    <n v="92"/>
    <s v="Premium Foods"/>
    <n v="-92"/>
    <n v="56.5"/>
    <n v="2.4424778761061945"/>
  </r>
  <r>
    <s v="P032"/>
    <s v="Choco Fudge Squares"/>
    <s v="Premium"/>
    <n v="174"/>
    <n v="146"/>
    <n v="92"/>
    <n v="228"/>
    <n v="85"/>
    <s v="Global Cocoa"/>
    <n v="19380"/>
    <n v="288"/>
    <n v="0.31944444444444442"/>
  </r>
  <r>
    <s v="P006"/>
    <s v="Love Loaded Chocolate Bar"/>
    <s v="Festive"/>
    <n v="53"/>
    <n v="73"/>
    <n v="152"/>
    <n v="-26"/>
    <n v="42"/>
    <s v="Sweet Supplies"/>
    <n v="-1092"/>
    <n v="40"/>
    <n v="3.8"/>
  </r>
  <r>
    <s v="P030"/>
    <s v="Royal Dryfruit Mix"/>
    <s v="Cookies"/>
    <n v="193"/>
    <n v="139"/>
    <n v="131"/>
    <n v="201"/>
    <n v="55"/>
    <s v="ABC Traders"/>
    <n v="11055"/>
    <n v="293.5"/>
    <n v="0.44633730834752983"/>
  </r>
  <r>
    <s v="P033"/>
    <s v="Milk Chocolate Coins"/>
    <s v="Cookies"/>
    <n v="85"/>
    <n v="87"/>
    <n v="95"/>
    <n v="77"/>
    <n v="13"/>
    <s v="Choco World"/>
    <n v="1001"/>
    <n v="123.5"/>
    <n v="0.76923076923076927"/>
  </r>
  <r>
    <s v="P027"/>
    <s v="Premium Cocoa Slabs"/>
    <s v="Bars"/>
    <n v="54"/>
    <n v="59"/>
    <n v="72"/>
    <n v="41"/>
    <n v="92"/>
    <s v="Sweet Supplies"/>
    <n v="3772"/>
    <n v="74.5"/>
    <n v="0.96644295302013428"/>
  </r>
  <r>
    <s v="P032"/>
    <s v="Choco Fudge Squares"/>
    <s v="Premium"/>
    <n v="183"/>
    <n v="55"/>
    <n v="41"/>
    <n v="197"/>
    <n v="85"/>
    <s v="ABC Traders"/>
    <n v="16745"/>
    <n v="281.5"/>
    <n v="0.14564831261101244"/>
  </r>
  <r>
    <s v="P037"/>
    <s v="Golden Caramel Bites"/>
    <s v="Snacks"/>
    <n v="128"/>
    <n v="122"/>
    <n v="90"/>
    <n v="160"/>
    <n v="105"/>
    <s v="Global Cocoa"/>
    <n v="16800"/>
    <n v="208"/>
    <n v="0.43269230769230771"/>
  </r>
  <r>
    <s v="P035"/>
    <s v="Velvet Truffle Bites"/>
    <s v="Cookies"/>
    <n v="63"/>
    <n v="33"/>
    <n v="30"/>
    <n v="66"/>
    <n v="106"/>
    <s v="Sweet Supplies"/>
    <n v="6996"/>
    <n v="96"/>
    <n v="0.3125"/>
  </r>
  <r>
    <s v="P001"/>
    <s v="Choco Pie Popstick"/>
    <s v="Snacks"/>
    <n v="85"/>
    <n v="134"/>
    <n v="98"/>
    <n v="121"/>
    <n v="46"/>
    <s v="Global Cocoa"/>
    <n v="5566"/>
    <n v="145.5"/>
    <n v="0.67353951890034369"/>
  </r>
  <r>
    <s v="P035"/>
    <s v="Velvet Truffle Bites"/>
    <s v="Cookies"/>
    <n v="176"/>
    <n v="39"/>
    <n v="88"/>
    <n v="127"/>
    <n v="106"/>
    <s v="ABC Traders"/>
    <n v="13462"/>
    <n v="239.5"/>
    <n v="0.36743215031315241"/>
  </r>
  <r>
    <s v="P014"/>
    <s v="Dark Fantasy Squares"/>
    <s v="Snacks"/>
    <n v="58"/>
    <n v="86"/>
    <n v="175"/>
    <n v="-31"/>
    <n v="20"/>
    <s v="Global Cocoa"/>
    <n v="-620"/>
    <n v="42.5"/>
    <n v="4.117647058823529"/>
  </r>
  <r>
    <s v="P003"/>
    <s v="Choco Crunch Cone"/>
    <s v="Bars"/>
    <n v="162"/>
    <n v="141"/>
    <n v="147"/>
    <n v="156"/>
    <n v="66"/>
    <s v="ABC Traders"/>
    <n v="10296"/>
    <n v="240"/>
    <n v="0.61250000000000004"/>
  </r>
  <r>
    <s v="P022"/>
    <s v="Mint Choco Squares"/>
    <s v="Festive"/>
    <n v="73"/>
    <n v="122"/>
    <n v="157"/>
    <n v="38"/>
    <n v="61"/>
    <s v="Sweet Supplies"/>
    <n v="2318"/>
    <n v="92"/>
    <n v="1.7065217391304348"/>
  </r>
  <r>
    <s v="P009"/>
    <s v="Rose Pista Chocolate"/>
    <s v="Festive"/>
    <n v="197"/>
    <n v="67"/>
    <n v="160"/>
    <n v="104"/>
    <n v="72"/>
    <s v="Global Cocoa"/>
    <n v="7488"/>
    <n v="249"/>
    <n v="0.64257028112449799"/>
  </r>
  <r>
    <s v="P027"/>
    <s v="Premium Cocoa Slabs"/>
    <s v="Bars"/>
    <n v="176"/>
    <n v="72"/>
    <n v="120"/>
    <n v="128"/>
    <n v="92"/>
    <s v="Premium Foods"/>
    <n v="11776"/>
    <n v="240"/>
    <n v="0.5"/>
  </r>
  <r>
    <s v="P023"/>
    <s v="Coconut Delight Bar"/>
    <s v="Snacks"/>
    <n v="101"/>
    <n v="61"/>
    <n v="61"/>
    <n v="101"/>
    <n v="11"/>
    <s v="Global Cocoa"/>
    <n v="1111"/>
    <n v="151.5"/>
    <n v="0.40264026402640263"/>
  </r>
  <r>
    <s v="P022"/>
    <s v="Mint Choco Squares"/>
    <s v="Festive"/>
    <n v="171"/>
    <n v="85"/>
    <n v="40"/>
    <n v="216"/>
    <n v="61"/>
    <s v="Sweet Supplies"/>
    <n v="13176"/>
    <n v="279"/>
    <n v="0.14336917562724014"/>
  </r>
  <r>
    <s v="P030"/>
    <s v="Royal Dryfruit Mix"/>
    <s v="Cookies"/>
    <n v="136"/>
    <n v="129"/>
    <n v="37"/>
    <n v="228"/>
    <n v="55"/>
    <s v="Global Cocoa"/>
    <n v="12540"/>
    <n v="250"/>
    <n v="0.14799999999999999"/>
  </r>
  <r>
    <s v="P012"/>
    <s v="Cashew Delight Bites"/>
    <s v="Cookies"/>
    <n v="172"/>
    <n v="115"/>
    <n v="166"/>
    <n v="121"/>
    <n v="76"/>
    <s v="Choco World"/>
    <n v="9196"/>
    <n v="232.5"/>
    <n v="0.71397849462365592"/>
  </r>
  <r>
    <s v="P031"/>
    <s v="Honey Almond Chocolate"/>
    <s v="Cookies"/>
    <n v="87"/>
    <n v="136"/>
    <n v="96"/>
    <n v="127"/>
    <n v="72"/>
    <s v="ABC Traders"/>
    <n v="9144"/>
    <n v="150.5"/>
    <n v="0.63787375415282388"/>
  </r>
  <r>
    <s v="P017"/>
    <s v="Kesar Milk Chocolate"/>
    <s v="Cookies"/>
    <n v="106"/>
    <n v="86"/>
    <n v="31"/>
    <n v="161"/>
    <n v="98"/>
    <s v="Premium Foods"/>
    <n v="15778"/>
    <n v="186.5"/>
    <n v="0.16621983914209115"/>
  </r>
  <r>
    <s v="P038"/>
    <s v="Choco Biscuit Pops"/>
    <s v="Premium"/>
    <n v="71"/>
    <n v="21"/>
    <n v="76"/>
    <n v="16"/>
    <n v="63"/>
    <s v="Premium Foods"/>
    <n v="1008"/>
    <n v="79"/>
    <n v="0.96202531645569622"/>
  </r>
  <r>
    <s v="P034"/>
    <s v="Signature Cocoa Bars"/>
    <s v="Cookies"/>
    <n v="179"/>
    <n v="24"/>
    <n v="61"/>
    <n v="142"/>
    <n v="96"/>
    <s v="Sweet Supplies"/>
    <n v="13632"/>
    <n v="250"/>
    <n v="0.24399999999999999"/>
  </r>
  <r>
    <s v="P006"/>
    <s v="Love Loaded Chocolate Bar"/>
    <s v="Festive"/>
    <n v="53"/>
    <n v="62"/>
    <n v="152"/>
    <n v="-37"/>
    <n v="42"/>
    <s v="ABC Traders"/>
    <n v="-1554"/>
    <n v="34.5"/>
    <n v="4.4057971014492754"/>
  </r>
  <r>
    <s v="P013"/>
    <s v="Pistachio Fusion Chocolate"/>
    <s v="Cookies"/>
    <n v="183"/>
    <n v="139"/>
    <n v="165"/>
    <n v="157"/>
    <n v="101"/>
    <s v="Global Cocoa"/>
    <n v="15857"/>
    <n v="261.5"/>
    <n v="0.63097514340344163"/>
  </r>
  <r>
    <s v="P006"/>
    <s v="Love Loaded Chocolate Bar"/>
    <s v="Festive"/>
    <n v="155"/>
    <n v="39"/>
    <n v="52"/>
    <n v="142"/>
    <n v="42"/>
    <s v="Premium Foods"/>
    <n v="5964"/>
    <n v="226"/>
    <n v="0.23008849557522124"/>
  </r>
  <r>
    <s v="P005"/>
    <s v="Choco Dip Cookie"/>
    <s v="Premium"/>
    <n v="178"/>
    <n v="70"/>
    <n v="63"/>
    <n v="185"/>
    <n v="40"/>
    <s v="Sweet Supplies"/>
    <n v="7400"/>
    <n v="270.5"/>
    <n v="0.23290203327171904"/>
  </r>
  <r>
    <s v="P003"/>
    <s v="Choco Crunch Cone"/>
    <s v="Bars"/>
    <n v="200"/>
    <n v="62"/>
    <n v="173"/>
    <n v="89"/>
    <n v="66"/>
    <s v="ABC Traders"/>
    <n v="5874"/>
    <n v="244.5"/>
    <n v="0.70756646216768915"/>
  </r>
  <r>
    <s v="P034"/>
    <s v="Signature Cocoa Bars"/>
    <s v="Cookies"/>
    <n v="164"/>
    <n v="20"/>
    <n v="85"/>
    <n v="99"/>
    <n v="96"/>
    <s v="Premium Foods"/>
    <n v="9504"/>
    <n v="213.5"/>
    <n v="0.39812646370023419"/>
  </r>
  <r>
    <s v="P007"/>
    <s v="Choco Aura Custom Bar"/>
    <s v="Premium"/>
    <n v="151"/>
    <n v="23"/>
    <n v="113"/>
    <n v="61"/>
    <n v="75"/>
    <s v="Sweet Supplies"/>
    <n v="4575"/>
    <n v="181.5"/>
    <n v="0.62258953168044073"/>
  </r>
  <r>
    <s v="P025"/>
    <s v="Berry Blast Chocolate"/>
    <s v="Festive"/>
    <n v="96"/>
    <n v="20"/>
    <n v="82"/>
    <n v="34"/>
    <n v="113"/>
    <s v="Sweet Supplies"/>
    <n v="3842"/>
    <n v="113"/>
    <n v="0.7256637168141593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025-06-25"/>
    <x v="0"/>
    <s v="P013"/>
    <x v="0"/>
    <x v="0"/>
    <n v="1"/>
    <n v="143"/>
    <x v="0"/>
    <n v="128.69999999999999"/>
    <x v="0"/>
    <x v="0"/>
    <n v="42"/>
    <n v="0.32634032634032639"/>
    <n v="1.7543859649122806E-2"/>
  </r>
  <r>
    <x v="1"/>
    <s v="2025-04-21"/>
    <x v="1"/>
    <s v="P019"/>
    <x v="1"/>
    <x v="1"/>
    <n v="13"/>
    <n v="95"/>
    <x v="1"/>
    <n v="1173.25"/>
    <x v="1"/>
    <x v="1"/>
    <n v="962"/>
    <n v="0.81994459833795019"/>
    <n v="0.22807017543859648"/>
  </r>
  <r>
    <x v="2"/>
    <s v="2025-02-06"/>
    <x v="0"/>
    <s v="P037"/>
    <x v="2"/>
    <x v="2"/>
    <n v="11"/>
    <n v="160"/>
    <x v="2"/>
    <n v="1760"/>
    <x v="2"/>
    <x v="2"/>
    <n v="605"/>
    <n v="0.34375"/>
    <n v="0.19298245614035087"/>
  </r>
  <r>
    <x v="3"/>
    <s v="2025-01-31"/>
    <x v="2"/>
    <s v="P017"/>
    <x v="3"/>
    <x v="0"/>
    <n v="1"/>
    <n v="151"/>
    <x v="2"/>
    <n v="151"/>
    <x v="0"/>
    <x v="3"/>
    <n v="53"/>
    <n v="0.35099337748344372"/>
    <n v="1.7543859649122806E-2"/>
  </r>
  <r>
    <x v="4"/>
    <s v="2025-04-07"/>
    <x v="3"/>
    <s v="P002"/>
    <x v="4"/>
    <x v="3"/>
    <n v="5"/>
    <n v="146"/>
    <x v="0"/>
    <n v="657"/>
    <x v="1"/>
    <x v="1"/>
    <n v="250"/>
    <n v="0.38051750380517502"/>
    <n v="8.771929824561403E-2"/>
  </r>
  <r>
    <x v="5"/>
    <s v="2025-04-26"/>
    <x v="4"/>
    <s v="P034"/>
    <x v="5"/>
    <x v="0"/>
    <n v="6"/>
    <n v="154"/>
    <x v="0"/>
    <n v="831.6"/>
    <x v="3"/>
    <x v="1"/>
    <n v="348"/>
    <n v="0.41847041847041844"/>
    <n v="0.10526315789473684"/>
  </r>
  <r>
    <x v="6"/>
    <s v="2025-02-19"/>
    <x v="2"/>
    <s v="P036"/>
    <x v="6"/>
    <x v="0"/>
    <n v="15"/>
    <n v="139"/>
    <x v="2"/>
    <n v="2085"/>
    <x v="3"/>
    <x v="2"/>
    <n v="1050"/>
    <n v="0.50359712230215825"/>
    <n v="0.26315789473684209"/>
  </r>
  <r>
    <x v="7"/>
    <s v="2025-04-15"/>
    <x v="5"/>
    <s v="P017"/>
    <x v="3"/>
    <x v="0"/>
    <n v="4"/>
    <n v="151"/>
    <x v="3"/>
    <n v="513.4"/>
    <x v="4"/>
    <x v="1"/>
    <n v="212"/>
    <n v="0.41293338527463969"/>
    <n v="7.0175438596491224E-2"/>
  </r>
  <r>
    <x v="8"/>
    <s v="2025-03-10"/>
    <x v="6"/>
    <s v="P013"/>
    <x v="0"/>
    <x v="0"/>
    <n v="7"/>
    <n v="143"/>
    <x v="2"/>
    <n v="1001"/>
    <x v="3"/>
    <x v="4"/>
    <n v="294"/>
    <n v="0.2937062937062937"/>
    <n v="0.12280701754385964"/>
  </r>
  <r>
    <x v="9"/>
    <s v="2025-02-01"/>
    <x v="7"/>
    <s v="P022"/>
    <x v="7"/>
    <x v="4"/>
    <n v="11"/>
    <n v="147"/>
    <x v="0"/>
    <n v="1455.3"/>
    <x v="4"/>
    <x v="2"/>
    <n v="946"/>
    <n v="0.6500377928949358"/>
    <n v="0.19298245614035087"/>
  </r>
  <r>
    <x v="10"/>
    <s v="2025-05-27"/>
    <x v="4"/>
    <s v="P016"/>
    <x v="8"/>
    <x v="0"/>
    <n v="14"/>
    <n v="89"/>
    <x v="2"/>
    <n v="1246"/>
    <x v="3"/>
    <x v="5"/>
    <n v="910"/>
    <n v="0.7303370786516854"/>
    <n v="0.24561403508771928"/>
  </r>
  <r>
    <x v="11"/>
    <s v="2025-01-28"/>
    <x v="7"/>
    <s v="P017"/>
    <x v="3"/>
    <x v="0"/>
    <n v="2"/>
    <n v="151"/>
    <x v="1"/>
    <n v="286.89999999999998"/>
    <x v="4"/>
    <x v="3"/>
    <n v="106"/>
    <n v="0.36946671314046708"/>
    <n v="3.5087719298245612E-2"/>
  </r>
  <r>
    <x v="12"/>
    <s v="2025-04-13"/>
    <x v="5"/>
    <s v="P002"/>
    <x v="4"/>
    <x v="3"/>
    <n v="8"/>
    <n v="146"/>
    <x v="3"/>
    <n v="992.8"/>
    <x v="1"/>
    <x v="1"/>
    <n v="400"/>
    <n v="0.40290088638195004"/>
    <n v="0.14035087719298245"/>
  </r>
  <r>
    <x v="13"/>
    <s v="2025-01-17"/>
    <x v="6"/>
    <s v="P039"/>
    <x v="9"/>
    <x v="4"/>
    <n v="11"/>
    <n v="181"/>
    <x v="1"/>
    <n v="1891.45"/>
    <x v="4"/>
    <x v="3"/>
    <n v="693"/>
    <n v="0.36638557720267517"/>
    <n v="0.19298245614035087"/>
  </r>
  <r>
    <x v="14"/>
    <s v="2025-01-09"/>
    <x v="4"/>
    <s v="P003"/>
    <x v="10"/>
    <x v="1"/>
    <n v="1"/>
    <n v="86"/>
    <x v="1"/>
    <n v="81.7"/>
    <x v="3"/>
    <x v="3"/>
    <n v="20"/>
    <n v="0.24479804161566707"/>
    <n v="1.7543859649122806E-2"/>
  </r>
  <r>
    <x v="15"/>
    <s v="2025-06-11"/>
    <x v="1"/>
    <s v="P015"/>
    <x v="11"/>
    <x v="4"/>
    <n v="7"/>
    <n v="158"/>
    <x v="2"/>
    <n v="1106"/>
    <x v="2"/>
    <x v="0"/>
    <n v="665"/>
    <n v="0.60126582278481011"/>
    <n v="0.12280701754385964"/>
  </r>
  <r>
    <x v="16"/>
    <s v="2025-04-29"/>
    <x v="3"/>
    <s v="P040"/>
    <x v="12"/>
    <x v="4"/>
    <n v="11"/>
    <n v="145"/>
    <x v="0"/>
    <n v="1435.5"/>
    <x v="5"/>
    <x v="1"/>
    <n v="902"/>
    <n v="0.62835249042145591"/>
    <n v="0.19298245614035087"/>
  </r>
  <r>
    <x v="17"/>
    <s v="2025-06-06"/>
    <x v="8"/>
    <s v="P011"/>
    <x v="13"/>
    <x v="1"/>
    <n v="2"/>
    <n v="90"/>
    <x v="1"/>
    <n v="171"/>
    <x v="3"/>
    <x v="0"/>
    <n v="62"/>
    <n v="0.36257309941520466"/>
    <n v="3.5087719298245612E-2"/>
  </r>
  <r>
    <x v="18"/>
    <s v="2025-05-25"/>
    <x v="6"/>
    <s v="P034"/>
    <x v="5"/>
    <x v="0"/>
    <n v="9"/>
    <n v="154"/>
    <x v="1"/>
    <n v="1316.7"/>
    <x v="3"/>
    <x v="5"/>
    <n v="522"/>
    <n v="0.39644565960355432"/>
    <n v="0.15789473684210525"/>
  </r>
  <r>
    <x v="19"/>
    <s v="2025-05-24"/>
    <x v="6"/>
    <s v="P022"/>
    <x v="7"/>
    <x v="4"/>
    <n v="15"/>
    <n v="147"/>
    <x v="0"/>
    <n v="1984.5"/>
    <x v="0"/>
    <x v="5"/>
    <n v="1290"/>
    <n v="0.6500377928949358"/>
    <n v="0.26315789473684209"/>
  </r>
  <r>
    <x v="20"/>
    <s v="2025-06-20"/>
    <x v="9"/>
    <s v="P018"/>
    <x v="14"/>
    <x v="2"/>
    <n v="3"/>
    <n v="156"/>
    <x v="2"/>
    <n v="468"/>
    <x v="4"/>
    <x v="0"/>
    <n v="189"/>
    <n v="0.40384615384615385"/>
    <n v="5.2631578947368418E-2"/>
  </r>
  <r>
    <x v="21"/>
    <s v="2025-04-26"/>
    <x v="5"/>
    <s v="P035"/>
    <x v="15"/>
    <x v="0"/>
    <n v="1"/>
    <n v="199"/>
    <x v="2"/>
    <n v="199"/>
    <x v="2"/>
    <x v="1"/>
    <n v="93"/>
    <n v="0.46733668341708545"/>
    <n v="1.7543859649122806E-2"/>
  </r>
  <r>
    <x v="22"/>
    <s v="2025-03-29"/>
    <x v="8"/>
    <s v="P007"/>
    <x v="16"/>
    <x v="3"/>
    <n v="7"/>
    <n v="128"/>
    <x v="2"/>
    <n v="896"/>
    <x v="3"/>
    <x v="4"/>
    <n v="371"/>
    <n v="0.4140625"/>
    <n v="0.12280701754385964"/>
  </r>
  <r>
    <x v="23"/>
    <s v="2025-03-30"/>
    <x v="7"/>
    <s v="P012"/>
    <x v="17"/>
    <x v="0"/>
    <n v="14"/>
    <n v="98"/>
    <x v="1"/>
    <n v="1303.4000000000001"/>
    <x v="4"/>
    <x v="4"/>
    <n v="308"/>
    <n v="0.2363050483351235"/>
    <n v="0.24561403508771928"/>
  </r>
  <r>
    <x v="24"/>
    <s v="2025-02-22"/>
    <x v="9"/>
    <s v="P012"/>
    <x v="17"/>
    <x v="0"/>
    <n v="11"/>
    <n v="98"/>
    <x v="3"/>
    <n v="916.3"/>
    <x v="2"/>
    <x v="2"/>
    <n v="242"/>
    <n v="0.26410564225690275"/>
    <n v="0.19298245614035087"/>
  </r>
  <r>
    <x v="25"/>
    <s v="2025-06-30"/>
    <x v="2"/>
    <s v="P010"/>
    <x v="18"/>
    <x v="1"/>
    <n v="6"/>
    <n v="160"/>
    <x v="3"/>
    <n v="816"/>
    <x v="2"/>
    <x v="0"/>
    <n v="396"/>
    <n v="0.48529411764705882"/>
    <n v="0.10526315789473684"/>
  </r>
  <r>
    <x v="26"/>
    <s v="2025-05-02"/>
    <x v="3"/>
    <s v="P025"/>
    <x v="19"/>
    <x v="4"/>
    <n v="9"/>
    <n v="168"/>
    <x v="0"/>
    <n v="1360.8"/>
    <x v="1"/>
    <x v="5"/>
    <n v="495"/>
    <n v="0.36375661375661378"/>
    <n v="0.15789473684210525"/>
  </r>
  <r>
    <x v="27"/>
    <s v="2025-03-21"/>
    <x v="6"/>
    <s v="P017"/>
    <x v="3"/>
    <x v="0"/>
    <n v="3"/>
    <n v="151"/>
    <x v="2"/>
    <n v="453"/>
    <x v="3"/>
    <x v="4"/>
    <n v="159"/>
    <n v="0.35099337748344372"/>
    <n v="5.2631578947368418E-2"/>
  </r>
  <r>
    <x v="28"/>
    <s v="2025-02-08"/>
    <x v="10"/>
    <s v="P026"/>
    <x v="20"/>
    <x v="4"/>
    <n v="2"/>
    <n v="82"/>
    <x v="1"/>
    <n v="155.80000000000001"/>
    <x v="2"/>
    <x v="2"/>
    <n v="80"/>
    <n v="0.51347881899871628"/>
    <n v="3.5087719298245612E-2"/>
  </r>
  <r>
    <x v="29"/>
    <s v="2025-03-18"/>
    <x v="8"/>
    <s v="P001"/>
    <x v="21"/>
    <x v="2"/>
    <n v="10"/>
    <n v="74"/>
    <x v="2"/>
    <n v="740"/>
    <x v="4"/>
    <x v="4"/>
    <n v="280"/>
    <n v="0.3783783783783784"/>
    <n v="0.17543859649122806"/>
  </r>
  <r>
    <x v="30"/>
    <s v="2025-04-25"/>
    <x v="9"/>
    <s v="P018"/>
    <x v="14"/>
    <x v="2"/>
    <n v="4"/>
    <n v="156"/>
    <x v="1"/>
    <n v="592.79999999999995"/>
    <x v="2"/>
    <x v="1"/>
    <n v="252"/>
    <n v="0.4251012145748988"/>
    <n v="7.0175438596491224E-2"/>
  </r>
  <r>
    <x v="31"/>
    <s v="2025-03-22"/>
    <x v="10"/>
    <s v="P004"/>
    <x v="22"/>
    <x v="1"/>
    <n v="4"/>
    <n v="99"/>
    <x v="0"/>
    <n v="356.4"/>
    <x v="4"/>
    <x v="4"/>
    <n v="96"/>
    <n v="0.26936026936026936"/>
    <n v="7.0175438596491224E-2"/>
  </r>
  <r>
    <x v="32"/>
    <s v="2025-05-25"/>
    <x v="11"/>
    <s v="P008"/>
    <x v="23"/>
    <x v="3"/>
    <n v="6"/>
    <n v="76"/>
    <x v="3"/>
    <n v="387.6"/>
    <x v="0"/>
    <x v="5"/>
    <n v="180"/>
    <n v="0.46439628482972134"/>
    <n v="0.10526315789473684"/>
  </r>
  <r>
    <x v="33"/>
    <s v="2025-04-21"/>
    <x v="0"/>
    <s v="P039"/>
    <x v="9"/>
    <x v="4"/>
    <n v="4"/>
    <n v="181"/>
    <x v="1"/>
    <n v="687.8"/>
    <x v="4"/>
    <x v="1"/>
    <n v="252"/>
    <n v="0.36638557720267523"/>
    <n v="7.0175438596491224E-2"/>
  </r>
  <r>
    <x v="34"/>
    <s v="2025-01-21"/>
    <x v="4"/>
    <s v="P004"/>
    <x v="22"/>
    <x v="1"/>
    <n v="13"/>
    <n v="99"/>
    <x v="3"/>
    <n v="1093.95"/>
    <x v="5"/>
    <x v="3"/>
    <n v="312"/>
    <n v="0.28520499108734404"/>
    <n v="0.22807017543859648"/>
  </r>
  <r>
    <x v="35"/>
    <s v="2025-02-13"/>
    <x v="1"/>
    <s v="P009"/>
    <x v="24"/>
    <x v="4"/>
    <n v="15"/>
    <n v="96"/>
    <x v="1"/>
    <n v="1368"/>
    <x v="3"/>
    <x v="2"/>
    <n v="360"/>
    <n v="0.26315789473684209"/>
    <n v="0.26315789473684209"/>
  </r>
  <r>
    <x v="36"/>
    <s v="2025-05-07"/>
    <x v="10"/>
    <s v="P032"/>
    <x v="25"/>
    <x v="3"/>
    <n v="6"/>
    <n v="130"/>
    <x v="1"/>
    <n v="741"/>
    <x v="1"/>
    <x v="5"/>
    <n v="270"/>
    <n v="0.36437246963562753"/>
    <n v="0.10526315789473684"/>
  </r>
  <r>
    <x v="37"/>
    <s v="2025-03-29"/>
    <x v="8"/>
    <s v="P011"/>
    <x v="13"/>
    <x v="1"/>
    <n v="6"/>
    <n v="90"/>
    <x v="3"/>
    <n v="459"/>
    <x v="2"/>
    <x v="4"/>
    <n v="186"/>
    <n v="0.40522875816993464"/>
    <n v="0.10526315789473684"/>
  </r>
  <r>
    <x v="38"/>
    <s v="2025-03-08"/>
    <x v="7"/>
    <s v="P006"/>
    <x v="26"/>
    <x v="4"/>
    <n v="8"/>
    <n v="140"/>
    <x v="0"/>
    <n v="1008"/>
    <x v="1"/>
    <x v="4"/>
    <n v="784"/>
    <n v="0.77777777777777779"/>
    <n v="0.14035087719298245"/>
  </r>
  <r>
    <x v="39"/>
    <s v="2025-05-17"/>
    <x v="3"/>
    <s v="P001"/>
    <x v="21"/>
    <x v="2"/>
    <n v="4"/>
    <n v="74"/>
    <x v="3"/>
    <n v="251.6"/>
    <x v="5"/>
    <x v="5"/>
    <n v="112"/>
    <n v="0.4451510333863275"/>
    <n v="7.0175438596491224E-2"/>
  </r>
  <r>
    <x v="40"/>
    <s v="2025-04-16"/>
    <x v="0"/>
    <s v="P027"/>
    <x v="27"/>
    <x v="1"/>
    <n v="9"/>
    <n v="135"/>
    <x v="2"/>
    <n v="1215"/>
    <x v="0"/>
    <x v="1"/>
    <n v="387"/>
    <n v="0.31851851851851853"/>
    <n v="0.15789473684210525"/>
  </r>
  <r>
    <x v="41"/>
    <s v="2025-02-24"/>
    <x v="10"/>
    <s v="P033"/>
    <x v="28"/>
    <x v="0"/>
    <n v="7"/>
    <n v="52"/>
    <x v="0"/>
    <n v="327.60000000000002"/>
    <x v="0"/>
    <x v="2"/>
    <n v="273"/>
    <n v="0.83333333333333326"/>
    <n v="0.12280701754385964"/>
  </r>
  <r>
    <x v="42"/>
    <s v="2025-05-05"/>
    <x v="4"/>
    <s v="P007"/>
    <x v="16"/>
    <x v="3"/>
    <n v="9"/>
    <n v="128"/>
    <x v="3"/>
    <n v="979.2"/>
    <x v="4"/>
    <x v="5"/>
    <n v="477"/>
    <n v="0.48713235294117646"/>
    <n v="0.15789473684210525"/>
  </r>
  <r>
    <x v="43"/>
    <s v="2025-04-19"/>
    <x v="3"/>
    <s v="P004"/>
    <x v="22"/>
    <x v="1"/>
    <n v="10"/>
    <n v="99"/>
    <x v="3"/>
    <n v="841.5"/>
    <x v="0"/>
    <x v="1"/>
    <n v="240"/>
    <n v="0.28520499108734404"/>
    <n v="0.17543859649122806"/>
  </r>
  <r>
    <x v="44"/>
    <s v="2025-03-10"/>
    <x v="11"/>
    <s v="P013"/>
    <x v="0"/>
    <x v="0"/>
    <n v="4"/>
    <n v="143"/>
    <x v="2"/>
    <n v="572"/>
    <x v="1"/>
    <x v="4"/>
    <n v="168"/>
    <n v="0.2937062937062937"/>
    <n v="7.0175438596491224E-2"/>
  </r>
  <r>
    <x v="45"/>
    <s v="2025-03-11"/>
    <x v="5"/>
    <s v="P016"/>
    <x v="8"/>
    <x v="0"/>
    <n v="5"/>
    <n v="89"/>
    <x v="3"/>
    <n v="378.25"/>
    <x v="3"/>
    <x v="4"/>
    <n v="325"/>
    <n v="0.85922009253139453"/>
    <n v="8.771929824561403E-2"/>
  </r>
  <r>
    <x v="46"/>
    <s v="2025-02-14"/>
    <x v="8"/>
    <s v="P040"/>
    <x v="12"/>
    <x v="4"/>
    <n v="9"/>
    <n v="145"/>
    <x v="3"/>
    <n v="1109.25"/>
    <x v="1"/>
    <x v="2"/>
    <n v="738"/>
    <n v="0.66531440162271804"/>
    <n v="0.15789473684210525"/>
  </r>
  <r>
    <x v="47"/>
    <s v="2025-06-11"/>
    <x v="8"/>
    <s v="P021"/>
    <x v="29"/>
    <x v="3"/>
    <n v="9"/>
    <n v="65"/>
    <x v="0"/>
    <n v="526.5"/>
    <x v="4"/>
    <x v="0"/>
    <n v="198"/>
    <n v="0.37606837606837606"/>
    <n v="0.15789473684210525"/>
  </r>
  <r>
    <x v="48"/>
    <s v="2025-06-27"/>
    <x v="5"/>
    <s v="P003"/>
    <x v="10"/>
    <x v="1"/>
    <n v="14"/>
    <n v="86"/>
    <x v="2"/>
    <n v="1204"/>
    <x v="1"/>
    <x v="0"/>
    <n v="280"/>
    <n v="0.23255813953488372"/>
    <n v="0.24561403508771928"/>
  </r>
  <r>
    <x v="49"/>
    <s v="2025-06-01"/>
    <x v="10"/>
    <s v="P023"/>
    <x v="30"/>
    <x v="2"/>
    <n v="3"/>
    <n v="37"/>
    <x v="1"/>
    <n v="105.45"/>
    <x v="1"/>
    <x v="0"/>
    <n v="78"/>
    <n v="0.73968705547652913"/>
    <n v="5.2631578947368418E-2"/>
  </r>
  <r>
    <x v="50"/>
    <s v="2025-06-30"/>
    <x v="8"/>
    <s v="P002"/>
    <x v="4"/>
    <x v="3"/>
    <n v="9"/>
    <n v="146"/>
    <x v="2"/>
    <n v="1314"/>
    <x v="0"/>
    <x v="0"/>
    <n v="450"/>
    <n v="0.34246575342465752"/>
    <n v="0.15789473684210525"/>
  </r>
  <r>
    <x v="51"/>
    <s v="2025-06-07"/>
    <x v="3"/>
    <s v="P027"/>
    <x v="27"/>
    <x v="1"/>
    <n v="6"/>
    <n v="135"/>
    <x v="1"/>
    <n v="769.5"/>
    <x v="1"/>
    <x v="0"/>
    <n v="258"/>
    <n v="0.33528265107212474"/>
    <n v="0.10526315789473684"/>
  </r>
  <r>
    <x v="52"/>
    <s v="2025-03-28"/>
    <x v="3"/>
    <s v="P039"/>
    <x v="9"/>
    <x v="4"/>
    <n v="12"/>
    <n v="181"/>
    <x v="2"/>
    <n v="2172"/>
    <x v="0"/>
    <x v="4"/>
    <n v="756"/>
    <n v="0.34806629834254144"/>
    <n v="0.21052631578947367"/>
  </r>
  <r>
    <x v="53"/>
    <s v="2025-02-08"/>
    <x v="9"/>
    <s v="P011"/>
    <x v="13"/>
    <x v="1"/>
    <n v="15"/>
    <n v="90"/>
    <x v="3"/>
    <n v="1147.5"/>
    <x v="0"/>
    <x v="2"/>
    <n v="465"/>
    <n v="0.40522875816993464"/>
    <n v="0.26315789473684209"/>
  </r>
  <r>
    <x v="54"/>
    <s v="2025-04-15"/>
    <x v="10"/>
    <s v="P036"/>
    <x v="6"/>
    <x v="0"/>
    <n v="14"/>
    <n v="139"/>
    <x v="1"/>
    <n v="1848.7"/>
    <x v="1"/>
    <x v="1"/>
    <n v="980"/>
    <n v="0.53010223400227185"/>
    <n v="0.24561403508771928"/>
  </r>
  <r>
    <x v="55"/>
    <s v="2025-04-14"/>
    <x v="9"/>
    <s v="P037"/>
    <x v="2"/>
    <x v="2"/>
    <n v="7"/>
    <n v="160"/>
    <x v="3"/>
    <n v="952"/>
    <x v="2"/>
    <x v="1"/>
    <n v="385"/>
    <n v="0.40441176470588236"/>
    <n v="0.12280701754385964"/>
  </r>
  <r>
    <x v="56"/>
    <s v="2025-01-13"/>
    <x v="1"/>
    <s v="P005"/>
    <x v="31"/>
    <x v="3"/>
    <n v="8"/>
    <n v="98"/>
    <x v="0"/>
    <n v="705.6"/>
    <x v="0"/>
    <x v="3"/>
    <n v="464"/>
    <n v="0.65759637188208619"/>
    <n v="0.14035087719298245"/>
  </r>
  <r>
    <x v="57"/>
    <s v="2025-03-27"/>
    <x v="10"/>
    <s v="P009"/>
    <x v="24"/>
    <x v="4"/>
    <n v="2"/>
    <n v="96"/>
    <x v="1"/>
    <n v="182.4"/>
    <x v="0"/>
    <x v="4"/>
    <n v="48"/>
    <n v="0.26315789473684209"/>
    <n v="3.5087719298245612E-2"/>
  </r>
  <r>
    <x v="58"/>
    <s v="2025-04-09"/>
    <x v="7"/>
    <s v="P021"/>
    <x v="29"/>
    <x v="3"/>
    <n v="2"/>
    <n v="65"/>
    <x v="3"/>
    <n v="110.5"/>
    <x v="0"/>
    <x v="1"/>
    <n v="44"/>
    <n v="0.39819004524886875"/>
    <n v="3.5087719298245612E-2"/>
  </r>
  <r>
    <x v="59"/>
    <s v="2025-03-29"/>
    <x v="9"/>
    <s v="P030"/>
    <x v="32"/>
    <x v="0"/>
    <n v="1"/>
    <n v="135"/>
    <x v="0"/>
    <n v="121.5"/>
    <x v="5"/>
    <x v="4"/>
    <n v="80"/>
    <n v="0.65843621399176955"/>
    <n v="1.7543859649122806E-2"/>
  </r>
  <r>
    <x v="60"/>
    <s v="2025-05-17"/>
    <x v="5"/>
    <s v="P015"/>
    <x v="11"/>
    <x v="4"/>
    <n v="7"/>
    <n v="158"/>
    <x v="2"/>
    <n v="1106"/>
    <x v="4"/>
    <x v="5"/>
    <n v="665"/>
    <n v="0.60126582278481011"/>
    <n v="0.12280701754385964"/>
  </r>
  <r>
    <x v="61"/>
    <s v="2025-06-02"/>
    <x v="0"/>
    <s v="P009"/>
    <x v="24"/>
    <x v="4"/>
    <n v="12"/>
    <n v="96"/>
    <x v="2"/>
    <n v="1152"/>
    <x v="2"/>
    <x v="0"/>
    <n v="288"/>
    <n v="0.25"/>
    <n v="0.21052631578947367"/>
  </r>
  <r>
    <x v="62"/>
    <s v="2025-01-15"/>
    <x v="10"/>
    <s v="P017"/>
    <x v="3"/>
    <x v="0"/>
    <n v="14"/>
    <n v="151"/>
    <x v="2"/>
    <n v="2114"/>
    <x v="5"/>
    <x v="3"/>
    <n v="742"/>
    <n v="0.35099337748344372"/>
    <n v="0.24561403508771928"/>
  </r>
  <r>
    <x v="63"/>
    <s v="2025-01-19"/>
    <x v="8"/>
    <s v="P032"/>
    <x v="25"/>
    <x v="3"/>
    <n v="4"/>
    <n v="130"/>
    <x v="2"/>
    <n v="520"/>
    <x v="5"/>
    <x v="3"/>
    <n v="180"/>
    <n v="0.34615384615384615"/>
    <n v="7.0175438596491224E-2"/>
  </r>
  <r>
    <x v="64"/>
    <s v="2025-01-06"/>
    <x v="1"/>
    <s v="P031"/>
    <x v="33"/>
    <x v="0"/>
    <n v="7"/>
    <n v="119"/>
    <x v="2"/>
    <n v="833"/>
    <x v="3"/>
    <x v="3"/>
    <n v="329"/>
    <n v="0.3949579831932773"/>
    <n v="0.12280701754385964"/>
  </r>
  <r>
    <x v="65"/>
    <s v="2025-01-14"/>
    <x v="9"/>
    <s v="P030"/>
    <x v="32"/>
    <x v="0"/>
    <n v="2"/>
    <n v="135"/>
    <x v="3"/>
    <n v="229.5"/>
    <x v="1"/>
    <x v="3"/>
    <n v="160"/>
    <n v="0.69716775599128544"/>
    <n v="3.5087719298245612E-2"/>
  </r>
  <r>
    <x v="66"/>
    <s v="2025-02-05"/>
    <x v="9"/>
    <s v="P006"/>
    <x v="26"/>
    <x v="4"/>
    <n v="7"/>
    <n v="140"/>
    <x v="2"/>
    <n v="980"/>
    <x v="5"/>
    <x v="2"/>
    <n v="686"/>
    <n v="0.7"/>
    <n v="0.12280701754385964"/>
  </r>
  <r>
    <x v="67"/>
    <s v="2025-04-22"/>
    <x v="7"/>
    <s v="P035"/>
    <x v="15"/>
    <x v="0"/>
    <n v="4"/>
    <n v="199"/>
    <x v="3"/>
    <n v="676.6"/>
    <x v="1"/>
    <x v="1"/>
    <n v="372"/>
    <n v="0.54980786284362992"/>
    <n v="7.0175438596491224E-2"/>
  </r>
  <r>
    <x v="68"/>
    <s v="2025-04-11"/>
    <x v="11"/>
    <s v="P016"/>
    <x v="8"/>
    <x v="0"/>
    <n v="13"/>
    <n v="89"/>
    <x v="1"/>
    <n v="1099.1500000000001"/>
    <x v="5"/>
    <x v="1"/>
    <n v="845"/>
    <n v="0.76877587226493194"/>
    <n v="0.22807017543859648"/>
  </r>
  <r>
    <x v="69"/>
    <s v="2025-05-24"/>
    <x v="0"/>
    <s v="P008"/>
    <x v="23"/>
    <x v="3"/>
    <n v="13"/>
    <n v="76"/>
    <x v="3"/>
    <n v="839.8"/>
    <x v="2"/>
    <x v="5"/>
    <n v="390"/>
    <n v="0.4643962848297214"/>
    <n v="0.22807017543859648"/>
  </r>
  <r>
    <x v="70"/>
    <s v="2025-05-06"/>
    <x v="11"/>
    <s v="P029"/>
    <x v="34"/>
    <x v="2"/>
    <n v="4"/>
    <n v="100"/>
    <x v="3"/>
    <n v="340"/>
    <x v="3"/>
    <x v="5"/>
    <n v="88"/>
    <n v="0.25882352941176473"/>
    <n v="7.0175438596491224E-2"/>
  </r>
  <r>
    <x v="71"/>
    <s v="2025-03-21"/>
    <x v="4"/>
    <s v="P030"/>
    <x v="32"/>
    <x v="0"/>
    <n v="10"/>
    <n v="135"/>
    <x v="2"/>
    <n v="1350"/>
    <x v="4"/>
    <x v="4"/>
    <n v="800"/>
    <n v="0.59259259259259256"/>
    <n v="0.17543859649122806"/>
  </r>
  <r>
    <x v="72"/>
    <s v="2025-06-14"/>
    <x v="2"/>
    <s v="P018"/>
    <x v="14"/>
    <x v="2"/>
    <n v="11"/>
    <n v="156"/>
    <x v="0"/>
    <n v="1544.4"/>
    <x v="4"/>
    <x v="0"/>
    <n v="693"/>
    <n v="0.44871794871794868"/>
    <n v="0.19298245614035087"/>
  </r>
  <r>
    <x v="73"/>
    <s v="2025-01-03"/>
    <x v="8"/>
    <s v="P018"/>
    <x v="14"/>
    <x v="2"/>
    <n v="9"/>
    <n v="156"/>
    <x v="3"/>
    <n v="1193.4000000000001"/>
    <x v="5"/>
    <x v="3"/>
    <n v="567"/>
    <n v="0.47511312217194568"/>
    <n v="0.15789473684210525"/>
  </r>
  <r>
    <x v="74"/>
    <s v="2025-06-14"/>
    <x v="3"/>
    <s v="P039"/>
    <x v="9"/>
    <x v="4"/>
    <n v="1"/>
    <n v="181"/>
    <x v="1"/>
    <n v="171.95"/>
    <x v="3"/>
    <x v="0"/>
    <n v="63"/>
    <n v="0.36638557720267523"/>
    <n v="1.7543859649122806E-2"/>
  </r>
  <r>
    <x v="75"/>
    <s v="2025-02-17"/>
    <x v="9"/>
    <s v="P040"/>
    <x v="12"/>
    <x v="4"/>
    <n v="14"/>
    <n v="145"/>
    <x v="2"/>
    <n v="2030"/>
    <x v="5"/>
    <x v="2"/>
    <n v="1148"/>
    <n v="0.56551724137931036"/>
    <n v="0.24561403508771928"/>
  </r>
  <r>
    <x v="76"/>
    <s v="2025-02-16"/>
    <x v="4"/>
    <s v="P002"/>
    <x v="4"/>
    <x v="3"/>
    <n v="15"/>
    <n v="146"/>
    <x v="0"/>
    <n v="1971"/>
    <x v="2"/>
    <x v="2"/>
    <n v="750"/>
    <n v="0.38051750380517502"/>
    <n v="0.26315789473684209"/>
  </r>
  <r>
    <x v="77"/>
    <s v="2025-03-09"/>
    <x v="3"/>
    <s v="P034"/>
    <x v="5"/>
    <x v="0"/>
    <n v="15"/>
    <n v="154"/>
    <x v="2"/>
    <n v="2310"/>
    <x v="5"/>
    <x v="4"/>
    <n v="870"/>
    <n v="0.37662337662337664"/>
    <n v="0.26315789473684209"/>
  </r>
  <r>
    <x v="78"/>
    <s v="2025-01-10"/>
    <x v="4"/>
    <s v="P007"/>
    <x v="16"/>
    <x v="3"/>
    <n v="1"/>
    <n v="128"/>
    <x v="1"/>
    <n v="121.6"/>
    <x v="2"/>
    <x v="3"/>
    <n v="53"/>
    <n v="0.43585526315789475"/>
    <n v="1.7543859649122806E-2"/>
  </r>
  <r>
    <x v="79"/>
    <s v="2025-04-23"/>
    <x v="6"/>
    <s v="P011"/>
    <x v="13"/>
    <x v="1"/>
    <n v="15"/>
    <n v="90"/>
    <x v="3"/>
    <n v="1147.5"/>
    <x v="2"/>
    <x v="1"/>
    <n v="465"/>
    <n v="0.40522875816993464"/>
    <n v="0.26315789473684209"/>
  </r>
  <r>
    <x v="80"/>
    <s v="2025-06-18"/>
    <x v="11"/>
    <s v="P032"/>
    <x v="25"/>
    <x v="3"/>
    <n v="9"/>
    <n v="130"/>
    <x v="1"/>
    <n v="1111.5"/>
    <x v="1"/>
    <x v="0"/>
    <n v="405"/>
    <n v="0.36437246963562753"/>
    <n v="0.15789473684210525"/>
  </r>
  <r>
    <x v="81"/>
    <s v="2025-01-30"/>
    <x v="7"/>
    <s v="P013"/>
    <x v="0"/>
    <x v="0"/>
    <n v="4"/>
    <n v="143"/>
    <x v="1"/>
    <n v="543.4"/>
    <x v="2"/>
    <x v="3"/>
    <n v="168"/>
    <n v="0.30916451969083547"/>
    <n v="7.0175438596491224E-2"/>
  </r>
  <r>
    <x v="82"/>
    <s v="2025-06-29"/>
    <x v="9"/>
    <s v="P028"/>
    <x v="35"/>
    <x v="1"/>
    <n v="13"/>
    <n v="109"/>
    <x v="0"/>
    <n v="1275.3"/>
    <x v="0"/>
    <x v="0"/>
    <n v="715"/>
    <n v="0.56065239551478085"/>
    <n v="0.22807017543859648"/>
  </r>
  <r>
    <x v="83"/>
    <s v="2025-05-29"/>
    <x v="1"/>
    <s v="P035"/>
    <x v="15"/>
    <x v="0"/>
    <n v="10"/>
    <n v="199"/>
    <x v="0"/>
    <n v="1791"/>
    <x v="3"/>
    <x v="5"/>
    <n v="930"/>
    <n v="0.51926298157453932"/>
    <n v="0.17543859649122806"/>
  </r>
  <r>
    <x v="84"/>
    <s v="2025-04-01"/>
    <x v="2"/>
    <s v="P027"/>
    <x v="27"/>
    <x v="1"/>
    <n v="11"/>
    <n v="135"/>
    <x v="0"/>
    <n v="1336.5"/>
    <x v="5"/>
    <x v="1"/>
    <n v="473"/>
    <n v="0.35390946502057613"/>
    <n v="0.19298245614035087"/>
  </r>
  <r>
    <x v="85"/>
    <s v="2025-03-08"/>
    <x v="10"/>
    <s v="P004"/>
    <x v="22"/>
    <x v="1"/>
    <n v="15"/>
    <n v="99"/>
    <x v="1"/>
    <n v="1410.75"/>
    <x v="5"/>
    <x v="4"/>
    <n v="360"/>
    <n v="0.2551834130781499"/>
    <n v="0.26315789473684209"/>
  </r>
  <r>
    <x v="86"/>
    <s v="2025-03-30"/>
    <x v="8"/>
    <s v="P004"/>
    <x v="22"/>
    <x v="1"/>
    <n v="2"/>
    <n v="99"/>
    <x v="3"/>
    <n v="168.3"/>
    <x v="2"/>
    <x v="4"/>
    <n v="48"/>
    <n v="0.28520499108734398"/>
    <n v="3.5087719298245612E-2"/>
  </r>
  <r>
    <x v="87"/>
    <s v="2025-01-13"/>
    <x v="9"/>
    <s v="P035"/>
    <x v="15"/>
    <x v="0"/>
    <n v="3"/>
    <n v="199"/>
    <x v="1"/>
    <n v="567.15"/>
    <x v="1"/>
    <x v="3"/>
    <n v="279"/>
    <n v="0.49193335096535312"/>
    <n v="5.2631578947368418E-2"/>
  </r>
  <r>
    <x v="88"/>
    <s v="2025-03-21"/>
    <x v="11"/>
    <s v="P040"/>
    <x v="12"/>
    <x v="4"/>
    <n v="12"/>
    <n v="145"/>
    <x v="1"/>
    <n v="1653"/>
    <x v="3"/>
    <x v="4"/>
    <n v="984"/>
    <n v="0.59528130671506352"/>
    <n v="0.21052631578947367"/>
  </r>
  <r>
    <x v="89"/>
    <s v="2025-01-28"/>
    <x v="6"/>
    <s v="P006"/>
    <x v="26"/>
    <x v="4"/>
    <n v="9"/>
    <n v="140"/>
    <x v="2"/>
    <n v="1260"/>
    <x v="4"/>
    <x v="3"/>
    <n v="882"/>
    <n v="0.7"/>
    <n v="0.15789473684210525"/>
  </r>
  <r>
    <x v="90"/>
    <s v="2025-04-26"/>
    <x v="8"/>
    <s v="P005"/>
    <x v="31"/>
    <x v="3"/>
    <n v="2"/>
    <n v="98"/>
    <x v="1"/>
    <n v="186.2"/>
    <x v="2"/>
    <x v="1"/>
    <n v="116"/>
    <n v="0.62298603651987117"/>
    <n v="3.5087719298245612E-2"/>
  </r>
  <r>
    <x v="91"/>
    <s v="2025-04-09"/>
    <x v="5"/>
    <s v="P021"/>
    <x v="29"/>
    <x v="3"/>
    <n v="14"/>
    <n v="65"/>
    <x v="1"/>
    <n v="864.5"/>
    <x v="4"/>
    <x v="1"/>
    <n v="308"/>
    <n v="0.35627530364372467"/>
    <n v="0.24561403508771928"/>
  </r>
  <r>
    <x v="92"/>
    <s v="2025-05-05"/>
    <x v="0"/>
    <s v="P016"/>
    <x v="8"/>
    <x v="0"/>
    <n v="15"/>
    <n v="89"/>
    <x v="1"/>
    <n v="1268.25"/>
    <x v="4"/>
    <x v="5"/>
    <n v="975"/>
    <n v="0.76877587226493205"/>
    <n v="0.26315789473684209"/>
  </r>
  <r>
    <x v="93"/>
    <s v="2025-06-25"/>
    <x v="10"/>
    <s v="P012"/>
    <x v="17"/>
    <x v="0"/>
    <n v="11"/>
    <n v="98"/>
    <x v="3"/>
    <n v="916.3"/>
    <x v="5"/>
    <x v="0"/>
    <n v="242"/>
    <n v="0.26410564225690275"/>
    <n v="0.19298245614035087"/>
  </r>
  <r>
    <x v="94"/>
    <s v="2025-01-12"/>
    <x v="2"/>
    <s v="P029"/>
    <x v="34"/>
    <x v="2"/>
    <n v="1"/>
    <n v="100"/>
    <x v="3"/>
    <n v="85"/>
    <x v="1"/>
    <x v="3"/>
    <n v="22"/>
    <n v="0.25882352941176473"/>
    <n v="1.7543859649122806E-2"/>
  </r>
  <r>
    <x v="95"/>
    <s v="2025-01-03"/>
    <x v="4"/>
    <s v="P013"/>
    <x v="0"/>
    <x v="0"/>
    <n v="5"/>
    <n v="143"/>
    <x v="2"/>
    <n v="715"/>
    <x v="1"/>
    <x v="3"/>
    <n v="210"/>
    <n v="0.2937062937062937"/>
    <n v="8.771929824561403E-2"/>
  </r>
  <r>
    <x v="96"/>
    <s v="2025-03-17"/>
    <x v="4"/>
    <s v="P021"/>
    <x v="29"/>
    <x v="3"/>
    <n v="4"/>
    <n v="65"/>
    <x v="0"/>
    <n v="234"/>
    <x v="0"/>
    <x v="4"/>
    <n v="88"/>
    <n v="0.37606837606837606"/>
    <n v="7.0175438596491224E-2"/>
  </r>
  <r>
    <x v="97"/>
    <s v="2025-04-13"/>
    <x v="0"/>
    <s v="P014"/>
    <x v="36"/>
    <x v="2"/>
    <n v="15"/>
    <n v="96"/>
    <x v="1"/>
    <n v="1368"/>
    <x v="3"/>
    <x v="1"/>
    <n v="1140"/>
    <n v="0.83333333333333337"/>
    <n v="0.26315789473684209"/>
  </r>
  <r>
    <x v="98"/>
    <s v="2025-03-23"/>
    <x v="7"/>
    <s v="P033"/>
    <x v="28"/>
    <x v="0"/>
    <n v="8"/>
    <n v="52"/>
    <x v="1"/>
    <n v="395.2"/>
    <x v="3"/>
    <x v="4"/>
    <n v="312"/>
    <n v="0.78947368421052633"/>
    <n v="0.14035087719298245"/>
  </r>
  <r>
    <x v="99"/>
    <s v="2025-03-31"/>
    <x v="1"/>
    <s v="P022"/>
    <x v="7"/>
    <x v="4"/>
    <n v="9"/>
    <n v="147"/>
    <x v="3"/>
    <n v="1124.55"/>
    <x v="4"/>
    <x v="4"/>
    <n v="774"/>
    <n v="0.68827531012404963"/>
    <n v="0.15789473684210525"/>
  </r>
  <r>
    <x v="100"/>
    <s v="2025-04-28"/>
    <x v="6"/>
    <s v="P014"/>
    <x v="36"/>
    <x v="2"/>
    <n v="6"/>
    <n v="96"/>
    <x v="3"/>
    <n v="489.6"/>
    <x v="5"/>
    <x v="1"/>
    <n v="456"/>
    <n v="0.93137254901960775"/>
    <n v="0.10526315789473684"/>
  </r>
  <r>
    <x v="101"/>
    <s v="2025-02-21"/>
    <x v="7"/>
    <s v="P036"/>
    <x v="6"/>
    <x v="0"/>
    <n v="7"/>
    <n v="139"/>
    <x v="3"/>
    <n v="827.05"/>
    <x v="4"/>
    <x v="2"/>
    <n v="490"/>
    <n v="0.59246720270842157"/>
    <n v="0.12280701754385964"/>
  </r>
  <r>
    <x v="102"/>
    <s v="2025-05-17"/>
    <x v="10"/>
    <s v="P025"/>
    <x v="19"/>
    <x v="4"/>
    <n v="1"/>
    <n v="168"/>
    <x v="1"/>
    <n v="159.6"/>
    <x v="4"/>
    <x v="5"/>
    <n v="55"/>
    <n v="0.34461152882205515"/>
    <n v="1.7543859649122806E-2"/>
  </r>
  <r>
    <x v="103"/>
    <s v="2025-01-19"/>
    <x v="11"/>
    <s v="P018"/>
    <x v="14"/>
    <x v="2"/>
    <n v="12"/>
    <n v="156"/>
    <x v="2"/>
    <n v="1872"/>
    <x v="1"/>
    <x v="3"/>
    <n v="756"/>
    <n v="0.40384615384615385"/>
    <n v="0.21052631578947367"/>
  </r>
  <r>
    <x v="104"/>
    <s v="2025-01-28"/>
    <x v="8"/>
    <s v="P032"/>
    <x v="25"/>
    <x v="3"/>
    <n v="15"/>
    <n v="130"/>
    <x v="2"/>
    <n v="1950"/>
    <x v="5"/>
    <x v="3"/>
    <n v="675"/>
    <n v="0.34615384615384615"/>
    <n v="0.26315789473684209"/>
  </r>
  <r>
    <x v="105"/>
    <s v="2025-02-08"/>
    <x v="7"/>
    <s v="P015"/>
    <x v="11"/>
    <x v="4"/>
    <n v="4"/>
    <n v="158"/>
    <x v="2"/>
    <n v="632"/>
    <x v="3"/>
    <x v="2"/>
    <n v="380"/>
    <n v="0.60126582278481011"/>
    <n v="7.0175438596491224E-2"/>
  </r>
  <r>
    <x v="106"/>
    <s v="2025-03-19"/>
    <x v="3"/>
    <s v="P009"/>
    <x v="24"/>
    <x v="4"/>
    <n v="12"/>
    <n v="96"/>
    <x v="1"/>
    <n v="1094.4000000000001"/>
    <x v="3"/>
    <x v="4"/>
    <n v="288"/>
    <n v="0.26315789473684209"/>
    <n v="0.21052631578947367"/>
  </r>
  <r>
    <x v="107"/>
    <s v="2025-03-08"/>
    <x v="8"/>
    <s v="P013"/>
    <x v="0"/>
    <x v="0"/>
    <n v="5"/>
    <n v="143"/>
    <x v="1"/>
    <n v="679.25"/>
    <x v="3"/>
    <x v="4"/>
    <n v="210"/>
    <n v="0.30916451969083547"/>
    <n v="8.771929824561403E-2"/>
  </r>
  <r>
    <x v="108"/>
    <s v="2025-06-25"/>
    <x v="4"/>
    <s v="P007"/>
    <x v="16"/>
    <x v="3"/>
    <n v="5"/>
    <n v="128"/>
    <x v="0"/>
    <n v="576"/>
    <x v="2"/>
    <x v="0"/>
    <n v="265"/>
    <n v="0.46006944444444442"/>
    <n v="8.771929824561403E-2"/>
  </r>
  <r>
    <x v="109"/>
    <s v="2025-02-09"/>
    <x v="3"/>
    <s v="P006"/>
    <x v="26"/>
    <x v="4"/>
    <n v="2"/>
    <n v="140"/>
    <x v="2"/>
    <n v="280"/>
    <x v="5"/>
    <x v="2"/>
    <n v="196"/>
    <n v="0.7"/>
    <n v="3.5087719298245612E-2"/>
  </r>
  <r>
    <x v="110"/>
    <s v="2025-03-07"/>
    <x v="4"/>
    <s v="P019"/>
    <x v="1"/>
    <x v="1"/>
    <n v="2"/>
    <n v="95"/>
    <x v="2"/>
    <n v="190"/>
    <x v="5"/>
    <x v="4"/>
    <n v="148"/>
    <n v="0.77894736842105261"/>
    <n v="3.5087719298245612E-2"/>
  </r>
  <r>
    <x v="111"/>
    <s v="2025-01-06"/>
    <x v="1"/>
    <s v="P012"/>
    <x v="17"/>
    <x v="0"/>
    <n v="14"/>
    <n v="98"/>
    <x v="2"/>
    <n v="1372"/>
    <x v="0"/>
    <x v="3"/>
    <n v="308"/>
    <n v="0.22448979591836735"/>
    <n v="0.24561403508771928"/>
  </r>
  <r>
    <x v="112"/>
    <s v="2025-05-17"/>
    <x v="6"/>
    <s v="P018"/>
    <x v="14"/>
    <x v="2"/>
    <n v="11"/>
    <n v="156"/>
    <x v="2"/>
    <n v="1716"/>
    <x v="1"/>
    <x v="5"/>
    <n v="693"/>
    <n v="0.40384615384615385"/>
    <n v="0.19298245614035087"/>
  </r>
  <r>
    <x v="113"/>
    <s v="2025-02-02"/>
    <x v="4"/>
    <s v="P040"/>
    <x v="12"/>
    <x v="4"/>
    <n v="15"/>
    <n v="145"/>
    <x v="2"/>
    <n v="2175"/>
    <x v="0"/>
    <x v="2"/>
    <n v="1230"/>
    <n v="0.56551724137931036"/>
    <n v="0.26315789473684209"/>
  </r>
  <r>
    <x v="114"/>
    <s v="2025-04-07"/>
    <x v="5"/>
    <s v="P027"/>
    <x v="27"/>
    <x v="1"/>
    <n v="6"/>
    <n v="135"/>
    <x v="1"/>
    <n v="769.5"/>
    <x v="5"/>
    <x v="1"/>
    <n v="258"/>
    <n v="0.33528265107212474"/>
    <n v="0.10526315789473684"/>
  </r>
  <r>
    <x v="115"/>
    <s v="2025-06-28"/>
    <x v="7"/>
    <s v="P030"/>
    <x v="32"/>
    <x v="0"/>
    <n v="11"/>
    <n v="135"/>
    <x v="3"/>
    <n v="1262.25"/>
    <x v="1"/>
    <x v="0"/>
    <n v="880"/>
    <n v="0.69716775599128544"/>
    <n v="0.19298245614035087"/>
  </r>
  <r>
    <x v="116"/>
    <s v="2025-06-16"/>
    <x v="11"/>
    <s v="P023"/>
    <x v="30"/>
    <x v="2"/>
    <n v="7"/>
    <n v="37"/>
    <x v="3"/>
    <n v="220.15"/>
    <x v="1"/>
    <x v="0"/>
    <n v="182"/>
    <n v="0.82670906200317962"/>
    <n v="0.12280701754385964"/>
  </r>
  <r>
    <x v="117"/>
    <s v="2025-06-17"/>
    <x v="10"/>
    <s v="P015"/>
    <x v="11"/>
    <x v="4"/>
    <n v="1"/>
    <n v="158"/>
    <x v="3"/>
    <n v="134.30000000000001"/>
    <x v="5"/>
    <x v="0"/>
    <n v="95"/>
    <n v="0.70737155621742365"/>
    <n v="1.7543859649122806E-2"/>
  </r>
  <r>
    <x v="118"/>
    <s v="2025-01-04"/>
    <x v="5"/>
    <s v="P029"/>
    <x v="34"/>
    <x v="2"/>
    <n v="5"/>
    <n v="100"/>
    <x v="1"/>
    <n v="475"/>
    <x v="1"/>
    <x v="3"/>
    <n v="110"/>
    <n v="0.23157894736842105"/>
    <n v="8.771929824561403E-2"/>
  </r>
  <r>
    <x v="119"/>
    <s v="2025-05-31"/>
    <x v="2"/>
    <s v="P030"/>
    <x v="32"/>
    <x v="0"/>
    <n v="13"/>
    <n v="135"/>
    <x v="1"/>
    <n v="1667.25"/>
    <x v="2"/>
    <x v="5"/>
    <n v="1040"/>
    <n v="0.62378167641325533"/>
    <n v="0.22807017543859648"/>
  </r>
  <r>
    <x v="120"/>
    <s v="2025-06-22"/>
    <x v="11"/>
    <s v="P025"/>
    <x v="19"/>
    <x v="4"/>
    <n v="9"/>
    <n v="168"/>
    <x v="0"/>
    <n v="1360.8"/>
    <x v="3"/>
    <x v="0"/>
    <n v="495"/>
    <n v="0.36375661375661378"/>
    <n v="0.15789473684210525"/>
  </r>
  <r>
    <x v="121"/>
    <s v="2025-04-18"/>
    <x v="10"/>
    <s v="P034"/>
    <x v="5"/>
    <x v="0"/>
    <n v="4"/>
    <n v="154"/>
    <x v="2"/>
    <n v="616"/>
    <x v="0"/>
    <x v="1"/>
    <n v="232"/>
    <n v="0.37662337662337664"/>
    <n v="7.0175438596491224E-2"/>
  </r>
  <r>
    <x v="122"/>
    <s v="2025-04-10"/>
    <x v="3"/>
    <s v="P023"/>
    <x v="30"/>
    <x v="2"/>
    <n v="12"/>
    <n v="37"/>
    <x v="0"/>
    <n v="399.6"/>
    <x v="4"/>
    <x v="1"/>
    <n v="312"/>
    <n v="0.78078078078078073"/>
    <n v="0.21052631578947367"/>
  </r>
  <r>
    <x v="123"/>
    <s v="2025-04-21"/>
    <x v="9"/>
    <s v="P009"/>
    <x v="24"/>
    <x v="4"/>
    <n v="3"/>
    <n v="96"/>
    <x v="2"/>
    <n v="288"/>
    <x v="3"/>
    <x v="1"/>
    <n v="72"/>
    <n v="0.25"/>
    <n v="5.2631578947368418E-2"/>
  </r>
  <r>
    <x v="124"/>
    <s v="2025-03-02"/>
    <x v="10"/>
    <s v="P040"/>
    <x v="12"/>
    <x v="4"/>
    <n v="12"/>
    <n v="145"/>
    <x v="2"/>
    <n v="1740"/>
    <x v="2"/>
    <x v="4"/>
    <n v="984"/>
    <n v="0.56551724137931036"/>
    <n v="0.21052631578947367"/>
  </r>
  <r>
    <x v="125"/>
    <s v="2025-06-15"/>
    <x v="6"/>
    <s v="P035"/>
    <x v="15"/>
    <x v="0"/>
    <n v="3"/>
    <n v="199"/>
    <x v="1"/>
    <n v="567.15"/>
    <x v="5"/>
    <x v="0"/>
    <n v="279"/>
    <n v="0.49193335096535312"/>
    <n v="5.2631578947368418E-2"/>
  </r>
  <r>
    <x v="126"/>
    <s v="2025-02-04"/>
    <x v="7"/>
    <s v="P039"/>
    <x v="9"/>
    <x v="4"/>
    <n v="8"/>
    <n v="181"/>
    <x v="3"/>
    <n v="1230.8"/>
    <x v="0"/>
    <x v="2"/>
    <n v="504"/>
    <n v="0.40948976275593113"/>
    <n v="0.14035087719298245"/>
  </r>
  <r>
    <x v="127"/>
    <s v="2025-03-21"/>
    <x v="1"/>
    <s v="P010"/>
    <x v="18"/>
    <x v="1"/>
    <n v="9"/>
    <n v="160"/>
    <x v="3"/>
    <n v="1224"/>
    <x v="0"/>
    <x v="4"/>
    <n v="594"/>
    <n v="0.48529411764705882"/>
    <n v="0.15789473684210525"/>
  </r>
  <r>
    <x v="128"/>
    <s v="2025-01-18"/>
    <x v="0"/>
    <s v="P026"/>
    <x v="20"/>
    <x v="4"/>
    <n v="12"/>
    <n v="82"/>
    <x v="0"/>
    <n v="885.6"/>
    <x v="2"/>
    <x v="3"/>
    <n v="480"/>
    <n v="0.54200542005420049"/>
    <n v="0.21052631578947367"/>
  </r>
  <r>
    <x v="129"/>
    <s v="2025-04-01"/>
    <x v="8"/>
    <s v="P030"/>
    <x v="32"/>
    <x v="0"/>
    <n v="12"/>
    <n v="135"/>
    <x v="2"/>
    <n v="1620"/>
    <x v="2"/>
    <x v="1"/>
    <n v="960"/>
    <n v="0.59259259259259256"/>
    <n v="0.21052631578947367"/>
  </r>
  <r>
    <x v="130"/>
    <s v="2025-02-05"/>
    <x v="6"/>
    <s v="P002"/>
    <x v="4"/>
    <x v="3"/>
    <n v="8"/>
    <n v="146"/>
    <x v="0"/>
    <n v="1051.2"/>
    <x v="4"/>
    <x v="2"/>
    <n v="400"/>
    <n v="0.38051750380517502"/>
    <n v="0.14035087719298245"/>
  </r>
  <r>
    <x v="131"/>
    <s v="2025-06-11"/>
    <x v="7"/>
    <s v="P029"/>
    <x v="34"/>
    <x v="2"/>
    <n v="10"/>
    <n v="100"/>
    <x v="2"/>
    <n v="1000"/>
    <x v="3"/>
    <x v="0"/>
    <n v="220"/>
    <n v="0.22"/>
    <n v="0.17543859649122806"/>
  </r>
  <r>
    <x v="132"/>
    <s v="2025-05-24"/>
    <x v="3"/>
    <s v="P032"/>
    <x v="25"/>
    <x v="3"/>
    <n v="14"/>
    <n v="130"/>
    <x v="3"/>
    <n v="1547"/>
    <x v="1"/>
    <x v="5"/>
    <n v="630"/>
    <n v="0.40723981900452488"/>
    <n v="0.24561403508771928"/>
  </r>
  <r>
    <x v="133"/>
    <s v="2025-01-11"/>
    <x v="5"/>
    <s v="P027"/>
    <x v="27"/>
    <x v="1"/>
    <n v="7"/>
    <n v="135"/>
    <x v="2"/>
    <n v="945"/>
    <x v="3"/>
    <x v="3"/>
    <n v="301"/>
    <n v="0.31851851851851853"/>
    <n v="0.12280701754385964"/>
  </r>
  <r>
    <x v="134"/>
    <s v="2025-06-12"/>
    <x v="9"/>
    <s v="P031"/>
    <x v="33"/>
    <x v="0"/>
    <n v="1"/>
    <n v="119"/>
    <x v="0"/>
    <n v="107.1"/>
    <x v="3"/>
    <x v="0"/>
    <n v="47"/>
    <n v="0.43884220354808595"/>
    <n v="1.7543859649122806E-2"/>
  </r>
  <r>
    <x v="135"/>
    <s v="2025-04-18"/>
    <x v="2"/>
    <s v="P037"/>
    <x v="2"/>
    <x v="2"/>
    <n v="3"/>
    <n v="160"/>
    <x v="2"/>
    <n v="480"/>
    <x v="4"/>
    <x v="1"/>
    <n v="165"/>
    <n v="0.34375"/>
    <n v="5.2631578947368418E-2"/>
  </r>
  <r>
    <x v="136"/>
    <s v="2025-01-31"/>
    <x v="8"/>
    <s v="P023"/>
    <x v="30"/>
    <x v="2"/>
    <n v="6"/>
    <n v="37"/>
    <x v="0"/>
    <n v="199.8"/>
    <x v="4"/>
    <x v="3"/>
    <n v="156"/>
    <n v="0.78078078078078073"/>
    <n v="0.10526315789473684"/>
  </r>
  <r>
    <x v="137"/>
    <s v="2025-01-30"/>
    <x v="0"/>
    <s v="P021"/>
    <x v="29"/>
    <x v="3"/>
    <n v="10"/>
    <n v="65"/>
    <x v="1"/>
    <n v="617.5"/>
    <x v="5"/>
    <x v="3"/>
    <n v="220"/>
    <n v="0.35627530364372467"/>
    <n v="0.17543859649122806"/>
  </r>
  <r>
    <x v="138"/>
    <s v="2025-06-29"/>
    <x v="2"/>
    <s v="P008"/>
    <x v="23"/>
    <x v="3"/>
    <n v="10"/>
    <n v="76"/>
    <x v="1"/>
    <n v="722"/>
    <x v="0"/>
    <x v="0"/>
    <n v="300"/>
    <n v="0.41551246537396119"/>
    <n v="0.17543859649122806"/>
  </r>
  <r>
    <x v="139"/>
    <s v="2025-06-21"/>
    <x v="5"/>
    <s v="P009"/>
    <x v="24"/>
    <x v="4"/>
    <n v="14"/>
    <n v="96"/>
    <x v="3"/>
    <n v="1142.4000000000001"/>
    <x v="5"/>
    <x v="0"/>
    <n v="336"/>
    <n v="0.29411764705882348"/>
    <n v="0.24561403508771928"/>
  </r>
  <r>
    <x v="140"/>
    <s v="2025-02-04"/>
    <x v="5"/>
    <s v="P021"/>
    <x v="29"/>
    <x v="3"/>
    <n v="8"/>
    <n v="65"/>
    <x v="0"/>
    <n v="468"/>
    <x v="0"/>
    <x v="2"/>
    <n v="176"/>
    <n v="0.37606837606837606"/>
    <n v="0.14035087719298245"/>
  </r>
  <r>
    <x v="141"/>
    <s v="2025-02-07"/>
    <x v="8"/>
    <s v="P015"/>
    <x v="11"/>
    <x v="4"/>
    <n v="8"/>
    <n v="158"/>
    <x v="3"/>
    <n v="1074.4000000000001"/>
    <x v="0"/>
    <x v="2"/>
    <n v="760"/>
    <n v="0.70737155621742365"/>
    <n v="0.14035087719298245"/>
  </r>
  <r>
    <x v="142"/>
    <s v="2025-03-12"/>
    <x v="9"/>
    <s v="P019"/>
    <x v="1"/>
    <x v="1"/>
    <n v="14"/>
    <n v="95"/>
    <x v="2"/>
    <n v="1330"/>
    <x v="4"/>
    <x v="4"/>
    <n v="1036"/>
    <n v="0.77894736842105261"/>
    <n v="0.24561403508771928"/>
  </r>
  <r>
    <x v="143"/>
    <s v="2025-01-25"/>
    <x v="8"/>
    <s v="P039"/>
    <x v="9"/>
    <x v="4"/>
    <n v="8"/>
    <n v="181"/>
    <x v="0"/>
    <n v="1303.2"/>
    <x v="1"/>
    <x v="3"/>
    <n v="504"/>
    <n v="0.38674033149171272"/>
    <n v="0.14035087719298245"/>
  </r>
  <r>
    <x v="144"/>
    <s v="2025-05-30"/>
    <x v="9"/>
    <s v="P030"/>
    <x v="32"/>
    <x v="0"/>
    <n v="2"/>
    <n v="135"/>
    <x v="1"/>
    <n v="256.5"/>
    <x v="5"/>
    <x v="5"/>
    <n v="160"/>
    <n v="0.62378167641325533"/>
    <n v="3.5087719298245612E-2"/>
  </r>
  <r>
    <x v="145"/>
    <s v="2025-04-30"/>
    <x v="3"/>
    <s v="P037"/>
    <x v="2"/>
    <x v="2"/>
    <n v="2"/>
    <n v="160"/>
    <x v="0"/>
    <n v="288"/>
    <x v="5"/>
    <x v="1"/>
    <n v="110"/>
    <n v="0.38194444444444442"/>
    <n v="3.5087719298245612E-2"/>
  </r>
  <r>
    <x v="146"/>
    <s v="2025-02-22"/>
    <x v="10"/>
    <s v="P012"/>
    <x v="17"/>
    <x v="0"/>
    <n v="2"/>
    <n v="98"/>
    <x v="0"/>
    <n v="176.4"/>
    <x v="3"/>
    <x v="2"/>
    <n v="44"/>
    <n v="0.24943310657596371"/>
    <n v="3.5087719298245612E-2"/>
  </r>
  <r>
    <x v="147"/>
    <s v="2025-04-01"/>
    <x v="0"/>
    <s v="P038"/>
    <x v="37"/>
    <x v="3"/>
    <n v="4"/>
    <n v="113"/>
    <x v="2"/>
    <n v="452"/>
    <x v="0"/>
    <x v="1"/>
    <n v="200"/>
    <n v="0.44247787610619471"/>
    <n v="7.0175438596491224E-2"/>
  </r>
  <r>
    <x v="148"/>
    <s v="2025-04-12"/>
    <x v="6"/>
    <s v="P028"/>
    <x v="35"/>
    <x v="1"/>
    <n v="5"/>
    <n v="109"/>
    <x v="2"/>
    <n v="545"/>
    <x v="5"/>
    <x v="1"/>
    <n v="275"/>
    <n v="0.50458715596330272"/>
    <n v="8.771929824561403E-2"/>
  </r>
  <r>
    <x v="149"/>
    <s v="2025-03-08"/>
    <x v="7"/>
    <s v="P008"/>
    <x v="23"/>
    <x v="3"/>
    <n v="10"/>
    <n v="76"/>
    <x v="3"/>
    <n v="646"/>
    <x v="1"/>
    <x v="4"/>
    <n v="300"/>
    <n v="0.46439628482972134"/>
    <n v="0.17543859649122806"/>
  </r>
  <r>
    <x v="150"/>
    <s v="2025-03-16"/>
    <x v="7"/>
    <s v="P035"/>
    <x v="15"/>
    <x v="0"/>
    <n v="9"/>
    <n v="199"/>
    <x v="3"/>
    <n v="1522.35"/>
    <x v="4"/>
    <x v="4"/>
    <n v="837"/>
    <n v="0.54980786284362992"/>
    <n v="0.15789473684210525"/>
  </r>
  <r>
    <x v="151"/>
    <s v="2025-05-17"/>
    <x v="2"/>
    <s v="P028"/>
    <x v="35"/>
    <x v="1"/>
    <n v="3"/>
    <n v="109"/>
    <x v="1"/>
    <n v="310.64999999999998"/>
    <x v="0"/>
    <x v="5"/>
    <n v="165"/>
    <n v="0.53114437469821352"/>
    <n v="5.2631578947368418E-2"/>
  </r>
  <r>
    <x v="152"/>
    <s v="2025-03-27"/>
    <x v="1"/>
    <s v="P010"/>
    <x v="18"/>
    <x v="1"/>
    <n v="14"/>
    <n v="160"/>
    <x v="3"/>
    <n v="1904"/>
    <x v="5"/>
    <x v="4"/>
    <n v="924"/>
    <n v="0.48529411764705882"/>
    <n v="0.24561403508771928"/>
  </r>
  <r>
    <x v="153"/>
    <s v="2025-02-04"/>
    <x v="4"/>
    <s v="P028"/>
    <x v="35"/>
    <x v="1"/>
    <n v="1"/>
    <n v="109"/>
    <x v="1"/>
    <n v="103.55"/>
    <x v="0"/>
    <x v="2"/>
    <n v="55"/>
    <n v="0.53114437469821341"/>
    <n v="1.7543859649122806E-2"/>
  </r>
  <r>
    <x v="154"/>
    <s v="2025-06-17"/>
    <x v="6"/>
    <s v="P038"/>
    <x v="37"/>
    <x v="3"/>
    <n v="3"/>
    <n v="113"/>
    <x v="2"/>
    <n v="339"/>
    <x v="3"/>
    <x v="0"/>
    <n v="150"/>
    <n v="0.44247787610619471"/>
    <n v="5.2631578947368418E-2"/>
  </r>
  <r>
    <x v="155"/>
    <s v="2025-04-29"/>
    <x v="2"/>
    <s v="P014"/>
    <x v="36"/>
    <x v="2"/>
    <n v="6"/>
    <n v="96"/>
    <x v="3"/>
    <n v="489.6"/>
    <x v="5"/>
    <x v="1"/>
    <n v="456"/>
    <n v="0.93137254901960775"/>
    <n v="0.10526315789473684"/>
  </r>
  <r>
    <x v="156"/>
    <s v="2025-02-09"/>
    <x v="9"/>
    <s v="P016"/>
    <x v="8"/>
    <x v="0"/>
    <n v="12"/>
    <n v="89"/>
    <x v="3"/>
    <n v="907.8"/>
    <x v="5"/>
    <x v="2"/>
    <n v="780"/>
    <n v="0.85922009253139464"/>
    <n v="0.21052631578947367"/>
  </r>
  <r>
    <x v="157"/>
    <s v="2025-02-26"/>
    <x v="7"/>
    <s v="P026"/>
    <x v="20"/>
    <x v="4"/>
    <n v="15"/>
    <n v="82"/>
    <x v="1"/>
    <n v="1168.5"/>
    <x v="0"/>
    <x v="2"/>
    <n v="600"/>
    <n v="0.51347881899871628"/>
    <n v="0.26315789473684209"/>
  </r>
  <r>
    <x v="158"/>
    <s v="2025-02-22"/>
    <x v="3"/>
    <s v="P030"/>
    <x v="32"/>
    <x v="0"/>
    <n v="2"/>
    <n v="135"/>
    <x v="2"/>
    <n v="270"/>
    <x v="1"/>
    <x v="2"/>
    <n v="160"/>
    <n v="0.59259259259259256"/>
    <n v="3.5087719298245612E-2"/>
  </r>
  <r>
    <x v="159"/>
    <s v="2025-01-13"/>
    <x v="0"/>
    <s v="P018"/>
    <x v="14"/>
    <x v="2"/>
    <n v="11"/>
    <n v="156"/>
    <x v="1"/>
    <n v="1630.2"/>
    <x v="3"/>
    <x v="3"/>
    <n v="693"/>
    <n v="0.4251012145748988"/>
    <n v="0.19298245614035087"/>
  </r>
  <r>
    <x v="160"/>
    <s v="2025-01-22"/>
    <x v="9"/>
    <s v="P007"/>
    <x v="16"/>
    <x v="3"/>
    <n v="11"/>
    <n v="128"/>
    <x v="0"/>
    <n v="1267.2"/>
    <x v="2"/>
    <x v="3"/>
    <n v="583"/>
    <n v="0.46006944444444442"/>
    <n v="0.19298245614035087"/>
  </r>
  <r>
    <x v="161"/>
    <s v="2025-05-10"/>
    <x v="4"/>
    <s v="P031"/>
    <x v="33"/>
    <x v="0"/>
    <n v="12"/>
    <n v="119"/>
    <x v="0"/>
    <n v="1285.2"/>
    <x v="0"/>
    <x v="5"/>
    <n v="564"/>
    <n v="0.4388422035480859"/>
    <n v="0.21052631578947367"/>
  </r>
  <r>
    <x v="162"/>
    <s v="2025-06-28"/>
    <x v="2"/>
    <s v="P007"/>
    <x v="16"/>
    <x v="3"/>
    <n v="10"/>
    <n v="128"/>
    <x v="1"/>
    <n v="1216"/>
    <x v="3"/>
    <x v="0"/>
    <n v="530"/>
    <n v="0.43585526315789475"/>
    <n v="0.17543859649122806"/>
  </r>
  <r>
    <x v="163"/>
    <s v="2025-02-11"/>
    <x v="11"/>
    <s v="P025"/>
    <x v="19"/>
    <x v="4"/>
    <n v="12"/>
    <n v="168"/>
    <x v="1"/>
    <n v="1915.2"/>
    <x v="1"/>
    <x v="2"/>
    <n v="660"/>
    <n v="0.34461152882205515"/>
    <n v="0.21052631578947367"/>
  </r>
  <r>
    <x v="164"/>
    <s v="2025-04-09"/>
    <x v="0"/>
    <s v="P009"/>
    <x v="24"/>
    <x v="4"/>
    <n v="11"/>
    <n v="96"/>
    <x v="1"/>
    <n v="1003.2"/>
    <x v="4"/>
    <x v="1"/>
    <n v="264"/>
    <n v="0.26315789473684209"/>
    <n v="0.19298245614035087"/>
  </r>
  <r>
    <x v="165"/>
    <s v="2025-02-06"/>
    <x v="3"/>
    <s v="P008"/>
    <x v="23"/>
    <x v="3"/>
    <n v="15"/>
    <n v="76"/>
    <x v="1"/>
    <n v="1083"/>
    <x v="0"/>
    <x v="2"/>
    <n v="450"/>
    <n v="0.41551246537396119"/>
    <n v="0.26315789473684209"/>
  </r>
  <r>
    <x v="166"/>
    <s v="2025-04-22"/>
    <x v="4"/>
    <s v="P025"/>
    <x v="19"/>
    <x v="4"/>
    <n v="7"/>
    <n v="168"/>
    <x v="3"/>
    <n v="999.6"/>
    <x v="4"/>
    <x v="1"/>
    <n v="385"/>
    <n v="0.38515406162464982"/>
    <n v="0.12280701754385964"/>
  </r>
  <r>
    <x v="167"/>
    <s v="2025-03-07"/>
    <x v="2"/>
    <s v="P034"/>
    <x v="5"/>
    <x v="0"/>
    <n v="1"/>
    <n v="154"/>
    <x v="0"/>
    <n v="138.6"/>
    <x v="2"/>
    <x v="4"/>
    <n v="58"/>
    <n v="0.41847041847041849"/>
    <n v="1.7543859649122806E-2"/>
  </r>
  <r>
    <x v="168"/>
    <s v="2025-06-16"/>
    <x v="0"/>
    <s v="P011"/>
    <x v="13"/>
    <x v="1"/>
    <n v="9"/>
    <n v="90"/>
    <x v="2"/>
    <n v="810"/>
    <x v="3"/>
    <x v="0"/>
    <n v="279"/>
    <n v="0.34444444444444444"/>
    <n v="0.15789473684210525"/>
  </r>
  <r>
    <x v="169"/>
    <s v="2025-05-25"/>
    <x v="1"/>
    <s v="P011"/>
    <x v="13"/>
    <x v="1"/>
    <n v="2"/>
    <n v="90"/>
    <x v="1"/>
    <n v="171"/>
    <x v="0"/>
    <x v="5"/>
    <n v="62"/>
    <n v="0.36257309941520466"/>
    <n v="3.5087719298245612E-2"/>
  </r>
  <r>
    <x v="170"/>
    <s v="2025-03-27"/>
    <x v="11"/>
    <s v="P021"/>
    <x v="29"/>
    <x v="3"/>
    <n v="9"/>
    <n v="65"/>
    <x v="3"/>
    <n v="497.25"/>
    <x v="4"/>
    <x v="4"/>
    <n v="198"/>
    <n v="0.39819004524886875"/>
    <n v="0.15789473684210525"/>
  </r>
  <r>
    <x v="171"/>
    <s v="2025-05-17"/>
    <x v="1"/>
    <s v="P016"/>
    <x v="8"/>
    <x v="0"/>
    <n v="14"/>
    <n v="89"/>
    <x v="0"/>
    <n v="1121.4000000000001"/>
    <x v="5"/>
    <x v="5"/>
    <n v="910"/>
    <n v="0.81148564294631709"/>
    <n v="0.24561403508771928"/>
  </r>
  <r>
    <x v="172"/>
    <s v="2025-01-16"/>
    <x v="9"/>
    <s v="P025"/>
    <x v="19"/>
    <x v="4"/>
    <n v="7"/>
    <n v="168"/>
    <x v="0"/>
    <n v="1058.4000000000001"/>
    <x v="2"/>
    <x v="3"/>
    <n v="385"/>
    <n v="0.36375661375661372"/>
    <n v="0.12280701754385964"/>
  </r>
  <r>
    <x v="173"/>
    <s v="2025-04-30"/>
    <x v="10"/>
    <s v="P015"/>
    <x v="11"/>
    <x v="4"/>
    <n v="12"/>
    <n v="158"/>
    <x v="0"/>
    <n v="1706.4"/>
    <x v="3"/>
    <x v="1"/>
    <n v="1140"/>
    <n v="0.66807313642756683"/>
    <n v="0.21052631578947367"/>
  </r>
  <r>
    <x v="174"/>
    <s v="2025-06-19"/>
    <x v="7"/>
    <s v="P003"/>
    <x v="10"/>
    <x v="1"/>
    <n v="4"/>
    <n v="86"/>
    <x v="1"/>
    <n v="326.8"/>
    <x v="1"/>
    <x v="0"/>
    <n v="80"/>
    <n v="0.24479804161566707"/>
    <n v="7.0175438596491224E-2"/>
  </r>
  <r>
    <x v="175"/>
    <s v="2025-02-15"/>
    <x v="7"/>
    <s v="P030"/>
    <x v="32"/>
    <x v="0"/>
    <n v="13"/>
    <n v="135"/>
    <x v="0"/>
    <n v="1579.5"/>
    <x v="2"/>
    <x v="2"/>
    <n v="1040"/>
    <n v="0.65843621399176955"/>
    <n v="0.22807017543859648"/>
  </r>
  <r>
    <x v="176"/>
    <s v="2025-03-30"/>
    <x v="2"/>
    <s v="P026"/>
    <x v="20"/>
    <x v="4"/>
    <n v="11"/>
    <n v="82"/>
    <x v="2"/>
    <n v="902"/>
    <x v="2"/>
    <x v="4"/>
    <n v="440"/>
    <n v="0.48780487804878048"/>
    <n v="0.19298245614035087"/>
  </r>
  <r>
    <x v="177"/>
    <s v="2025-04-02"/>
    <x v="10"/>
    <s v="P009"/>
    <x v="24"/>
    <x v="4"/>
    <n v="4"/>
    <n v="96"/>
    <x v="2"/>
    <n v="384"/>
    <x v="5"/>
    <x v="1"/>
    <n v="96"/>
    <n v="0.25"/>
    <n v="7.0175438596491224E-2"/>
  </r>
  <r>
    <x v="178"/>
    <s v="2025-01-18"/>
    <x v="0"/>
    <s v="P037"/>
    <x v="2"/>
    <x v="2"/>
    <n v="10"/>
    <n v="160"/>
    <x v="3"/>
    <n v="1360"/>
    <x v="5"/>
    <x v="3"/>
    <n v="550"/>
    <n v="0.40441176470588236"/>
    <n v="0.17543859649122806"/>
  </r>
  <r>
    <x v="179"/>
    <s v="2025-04-07"/>
    <x v="7"/>
    <s v="P003"/>
    <x v="10"/>
    <x v="1"/>
    <n v="9"/>
    <n v="86"/>
    <x v="0"/>
    <n v="696.6"/>
    <x v="3"/>
    <x v="1"/>
    <n v="180"/>
    <n v="0.25839793281653745"/>
    <n v="0.15789473684210525"/>
  </r>
  <r>
    <x v="180"/>
    <s v="2025-05-16"/>
    <x v="1"/>
    <s v="P040"/>
    <x v="12"/>
    <x v="4"/>
    <n v="1"/>
    <n v="145"/>
    <x v="2"/>
    <n v="145"/>
    <x v="2"/>
    <x v="5"/>
    <n v="82"/>
    <n v="0.56551724137931036"/>
    <n v="1.7543859649122806E-2"/>
  </r>
  <r>
    <x v="181"/>
    <s v="2025-03-04"/>
    <x v="0"/>
    <s v="P027"/>
    <x v="27"/>
    <x v="1"/>
    <n v="7"/>
    <n v="135"/>
    <x v="2"/>
    <n v="945"/>
    <x v="3"/>
    <x v="4"/>
    <n v="301"/>
    <n v="0.31851851851851853"/>
    <n v="0.12280701754385964"/>
  </r>
  <r>
    <x v="182"/>
    <s v="2025-01-28"/>
    <x v="11"/>
    <s v="P038"/>
    <x v="37"/>
    <x v="3"/>
    <n v="12"/>
    <n v="113"/>
    <x v="2"/>
    <n v="1356"/>
    <x v="5"/>
    <x v="3"/>
    <n v="600"/>
    <n v="0.44247787610619471"/>
    <n v="0.21052631578947367"/>
  </r>
  <r>
    <x v="183"/>
    <s v="2025-05-14"/>
    <x v="11"/>
    <s v="P038"/>
    <x v="37"/>
    <x v="3"/>
    <n v="1"/>
    <n v="113"/>
    <x v="1"/>
    <n v="107.35"/>
    <x v="2"/>
    <x v="5"/>
    <n v="50"/>
    <n v="0.4657661853749418"/>
    <n v="1.7543859649122806E-2"/>
  </r>
  <r>
    <x v="184"/>
    <s v="2025-04-03"/>
    <x v="9"/>
    <s v="P033"/>
    <x v="28"/>
    <x v="0"/>
    <n v="9"/>
    <n v="52"/>
    <x v="1"/>
    <n v="444.6"/>
    <x v="0"/>
    <x v="1"/>
    <n v="351"/>
    <n v="0.78947368421052633"/>
    <n v="0.15789473684210525"/>
  </r>
  <r>
    <x v="185"/>
    <s v="2025-06-25"/>
    <x v="0"/>
    <s v="P033"/>
    <x v="28"/>
    <x v="0"/>
    <n v="15"/>
    <n v="52"/>
    <x v="0"/>
    <n v="702"/>
    <x v="4"/>
    <x v="0"/>
    <n v="585"/>
    <n v="0.83333333333333337"/>
    <n v="0.26315789473684209"/>
  </r>
  <r>
    <x v="186"/>
    <s v="2025-03-31"/>
    <x v="7"/>
    <s v="P039"/>
    <x v="9"/>
    <x v="4"/>
    <n v="15"/>
    <n v="181"/>
    <x v="1"/>
    <n v="2579.25"/>
    <x v="4"/>
    <x v="4"/>
    <n v="945"/>
    <n v="0.36638557720267517"/>
    <n v="0.26315789473684209"/>
  </r>
  <r>
    <x v="187"/>
    <s v="2025-02-20"/>
    <x v="8"/>
    <s v="P038"/>
    <x v="37"/>
    <x v="3"/>
    <n v="12"/>
    <n v="113"/>
    <x v="2"/>
    <n v="1356"/>
    <x v="5"/>
    <x v="2"/>
    <n v="600"/>
    <n v="0.44247787610619471"/>
    <n v="0.21052631578947367"/>
  </r>
  <r>
    <x v="188"/>
    <s v="2025-01-17"/>
    <x v="11"/>
    <s v="P030"/>
    <x v="32"/>
    <x v="0"/>
    <n v="11"/>
    <n v="135"/>
    <x v="3"/>
    <n v="1262.25"/>
    <x v="3"/>
    <x v="3"/>
    <n v="880"/>
    <n v="0.69716775599128544"/>
    <n v="0.19298245614035087"/>
  </r>
  <r>
    <x v="189"/>
    <s v="2025-05-11"/>
    <x v="1"/>
    <s v="P036"/>
    <x v="6"/>
    <x v="0"/>
    <n v="14"/>
    <n v="139"/>
    <x v="2"/>
    <n v="1946"/>
    <x v="0"/>
    <x v="5"/>
    <n v="980"/>
    <n v="0.50359712230215825"/>
    <n v="0.24561403508771928"/>
  </r>
  <r>
    <x v="190"/>
    <s v="2025-02-14"/>
    <x v="6"/>
    <s v="P025"/>
    <x v="19"/>
    <x v="4"/>
    <n v="13"/>
    <n v="168"/>
    <x v="0"/>
    <n v="1965.6"/>
    <x v="1"/>
    <x v="2"/>
    <n v="715"/>
    <n v="0.36375661375661378"/>
    <n v="0.22807017543859648"/>
  </r>
  <r>
    <x v="191"/>
    <s v="2025-01-25"/>
    <x v="11"/>
    <s v="P029"/>
    <x v="34"/>
    <x v="2"/>
    <n v="12"/>
    <n v="100"/>
    <x v="2"/>
    <n v="1200"/>
    <x v="0"/>
    <x v="3"/>
    <n v="264"/>
    <n v="0.22"/>
    <n v="0.21052631578947367"/>
  </r>
  <r>
    <x v="192"/>
    <s v="2025-03-31"/>
    <x v="7"/>
    <s v="P019"/>
    <x v="1"/>
    <x v="1"/>
    <n v="3"/>
    <n v="95"/>
    <x v="3"/>
    <n v="242.25"/>
    <x v="4"/>
    <x v="4"/>
    <n v="222"/>
    <n v="0.91640866873065019"/>
    <n v="5.2631578947368418E-2"/>
  </r>
  <r>
    <x v="193"/>
    <s v="2025-04-27"/>
    <x v="0"/>
    <s v="P017"/>
    <x v="3"/>
    <x v="0"/>
    <n v="3"/>
    <n v="151"/>
    <x v="3"/>
    <n v="385.05"/>
    <x v="5"/>
    <x v="1"/>
    <n v="159"/>
    <n v="0.41293338527463963"/>
    <n v="5.2631578947368418E-2"/>
  </r>
  <r>
    <x v="194"/>
    <s v="2025-05-30"/>
    <x v="7"/>
    <s v="P020"/>
    <x v="38"/>
    <x v="2"/>
    <n v="7"/>
    <n v="61"/>
    <x v="3"/>
    <n v="362.95"/>
    <x v="3"/>
    <x v="5"/>
    <n v="357"/>
    <n v="0.98360655737704916"/>
    <n v="0.12280701754385964"/>
  </r>
  <r>
    <x v="195"/>
    <s v="2025-05-22"/>
    <x v="4"/>
    <s v="P027"/>
    <x v="27"/>
    <x v="1"/>
    <n v="13"/>
    <n v="135"/>
    <x v="1"/>
    <n v="1667.25"/>
    <x v="5"/>
    <x v="5"/>
    <n v="559"/>
    <n v="0.33528265107212474"/>
    <n v="0.22807017543859648"/>
  </r>
  <r>
    <x v="196"/>
    <s v="2025-05-09"/>
    <x v="5"/>
    <s v="P017"/>
    <x v="3"/>
    <x v="0"/>
    <n v="3"/>
    <n v="151"/>
    <x v="2"/>
    <n v="453"/>
    <x v="3"/>
    <x v="5"/>
    <n v="159"/>
    <n v="0.35099337748344372"/>
    <n v="5.2631578947368418E-2"/>
  </r>
  <r>
    <x v="197"/>
    <s v="2025-06-20"/>
    <x v="3"/>
    <s v="P007"/>
    <x v="16"/>
    <x v="3"/>
    <n v="9"/>
    <n v="128"/>
    <x v="1"/>
    <n v="1094.4000000000001"/>
    <x v="5"/>
    <x v="0"/>
    <n v="477"/>
    <n v="0.43585526315789469"/>
    <n v="0.15789473684210525"/>
  </r>
  <r>
    <x v="198"/>
    <s v="2025-02-21"/>
    <x v="1"/>
    <s v="P003"/>
    <x v="10"/>
    <x v="1"/>
    <n v="15"/>
    <n v="86"/>
    <x v="3"/>
    <n v="1096.5"/>
    <x v="4"/>
    <x v="2"/>
    <n v="300"/>
    <n v="0.27359781121751026"/>
    <n v="0.26315789473684209"/>
  </r>
  <r>
    <x v="199"/>
    <s v="2025-01-28"/>
    <x v="5"/>
    <s v="P005"/>
    <x v="31"/>
    <x v="3"/>
    <n v="4"/>
    <n v="98"/>
    <x v="0"/>
    <n v="352.8"/>
    <x v="3"/>
    <x v="3"/>
    <n v="232"/>
    <n v="0.65759637188208619"/>
    <n v="7.0175438596491224E-2"/>
  </r>
  <r>
    <x v="200"/>
    <s v="2025-06-25"/>
    <x v="9"/>
    <s v="P032"/>
    <x v="25"/>
    <x v="3"/>
    <n v="2"/>
    <n v="130"/>
    <x v="0"/>
    <n v="234"/>
    <x v="2"/>
    <x v="0"/>
    <n v="90"/>
    <n v="0.38461538461538464"/>
    <n v="3.5087719298245612E-2"/>
  </r>
  <r>
    <x v="201"/>
    <s v="2025-01-11"/>
    <x v="7"/>
    <s v="P007"/>
    <x v="16"/>
    <x v="3"/>
    <n v="9"/>
    <n v="128"/>
    <x v="2"/>
    <n v="1152"/>
    <x v="1"/>
    <x v="3"/>
    <n v="477"/>
    <n v="0.4140625"/>
    <n v="0.15789473684210525"/>
  </r>
  <r>
    <x v="202"/>
    <s v="2025-01-17"/>
    <x v="5"/>
    <s v="P030"/>
    <x v="32"/>
    <x v="0"/>
    <n v="12"/>
    <n v="135"/>
    <x v="3"/>
    <n v="1377"/>
    <x v="0"/>
    <x v="3"/>
    <n v="960"/>
    <n v="0.69716775599128544"/>
    <n v="0.21052631578947367"/>
  </r>
  <r>
    <x v="203"/>
    <s v="2025-02-10"/>
    <x v="0"/>
    <s v="P040"/>
    <x v="12"/>
    <x v="4"/>
    <n v="13"/>
    <n v="145"/>
    <x v="0"/>
    <n v="1696.5"/>
    <x v="1"/>
    <x v="2"/>
    <n v="1066"/>
    <n v="0.62835249042145591"/>
    <n v="0.22807017543859648"/>
  </r>
  <r>
    <x v="204"/>
    <s v="2025-01-30"/>
    <x v="8"/>
    <s v="P017"/>
    <x v="3"/>
    <x v="0"/>
    <n v="6"/>
    <n v="151"/>
    <x v="0"/>
    <n v="815.4"/>
    <x v="4"/>
    <x v="3"/>
    <n v="318"/>
    <n v="0.3899926416482708"/>
    <n v="0.10526315789473684"/>
  </r>
  <r>
    <x v="205"/>
    <s v="2025-01-19"/>
    <x v="7"/>
    <s v="P001"/>
    <x v="21"/>
    <x v="2"/>
    <n v="8"/>
    <n v="74"/>
    <x v="0"/>
    <n v="532.79999999999995"/>
    <x v="2"/>
    <x v="3"/>
    <n v="224"/>
    <n v="0.42042042042042044"/>
    <n v="0.14035087719298245"/>
  </r>
  <r>
    <x v="206"/>
    <s v="2025-01-29"/>
    <x v="0"/>
    <s v="P039"/>
    <x v="9"/>
    <x v="4"/>
    <n v="6"/>
    <n v="181"/>
    <x v="3"/>
    <n v="923.1"/>
    <x v="2"/>
    <x v="3"/>
    <n v="378"/>
    <n v="0.40948976275593107"/>
    <n v="0.10526315789473684"/>
  </r>
  <r>
    <x v="207"/>
    <s v="2025-05-21"/>
    <x v="3"/>
    <s v="P019"/>
    <x v="1"/>
    <x v="1"/>
    <n v="2"/>
    <n v="95"/>
    <x v="0"/>
    <n v="171"/>
    <x v="0"/>
    <x v="5"/>
    <n v="148"/>
    <n v="0.86549707602339176"/>
    <n v="3.5087719298245612E-2"/>
  </r>
  <r>
    <x v="208"/>
    <s v="2025-04-14"/>
    <x v="0"/>
    <s v="P010"/>
    <x v="18"/>
    <x v="1"/>
    <n v="3"/>
    <n v="160"/>
    <x v="1"/>
    <n v="456"/>
    <x v="5"/>
    <x v="1"/>
    <n v="198"/>
    <n v="0.43421052631578949"/>
    <n v="5.2631578947368418E-2"/>
  </r>
  <r>
    <x v="209"/>
    <s v="2025-02-26"/>
    <x v="11"/>
    <s v="P003"/>
    <x v="10"/>
    <x v="1"/>
    <n v="6"/>
    <n v="86"/>
    <x v="1"/>
    <n v="490.2"/>
    <x v="3"/>
    <x v="2"/>
    <n v="120"/>
    <n v="0.24479804161566707"/>
    <n v="0.10526315789473684"/>
  </r>
  <r>
    <x v="210"/>
    <s v="2025-04-16"/>
    <x v="3"/>
    <s v="P008"/>
    <x v="23"/>
    <x v="3"/>
    <n v="14"/>
    <n v="76"/>
    <x v="3"/>
    <n v="904.4"/>
    <x v="2"/>
    <x v="1"/>
    <n v="420"/>
    <n v="0.4643962848297214"/>
    <n v="0.24561403508771928"/>
  </r>
  <r>
    <x v="211"/>
    <s v="2025-04-29"/>
    <x v="10"/>
    <s v="P018"/>
    <x v="14"/>
    <x v="2"/>
    <n v="11"/>
    <n v="156"/>
    <x v="0"/>
    <n v="1544.4"/>
    <x v="0"/>
    <x v="1"/>
    <n v="693"/>
    <n v="0.44871794871794868"/>
    <n v="0.19298245614035087"/>
  </r>
  <r>
    <x v="212"/>
    <s v="2025-04-08"/>
    <x v="5"/>
    <s v="P013"/>
    <x v="0"/>
    <x v="0"/>
    <n v="5"/>
    <n v="143"/>
    <x v="1"/>
    <n v="679.25"/>
    <x v="1"/>
    <x v="1"/>
    <n v="210"/>
    <n v="0.30916451969083547"/>
    <n v="8.771929824561403E-2"/>
  </r>
  <r>
    <x v="213"/>
    <s v="2025-06-24"/>
    <x v="3"/>
    <s v="P032"/>
    <x v="25"/>
    <x v="3"/>
    <n v="8"/>
    <n v="130"/>
    <x v="2"/>
    <n v="1040"/>
    <x v="3"/>
    <x v="0"/>
    <n v="360"/>
    <n v="0.34615384615384615"/>
    <n v="0.14035087719298245"/>
  </r>
  <r>
    <x v="214"/>
    <s v="2025-02-28"/>
    <x v="8"/>
    <s v="P013"/>
    <x v="0"/>
    <x v="0"/>
    <n v="1"/>
    <n v="143"/>
    <x v="3"/>
    <n v="121.55"/>
    <x v="5"/>
    <x v="2"/>
    <n v="42"/>
    <n v="0.34553681612505144"/>
    <n v="1.7543859649122806E-2"/>
  </r>
  <r>
    <x v="215"/>
    <s v="2025-05-01"/>
    <x v="8"/>
    <s v="P027"/>
    <x v="27"/>
    <x v="1"/>
    <n v="11"/>
    <n v="135"/>
    <x v="2"/>
    <n v="1485"/>
    <x v="0"/>
    <x v="5"/>
    <n v="473"/>
    <n v="0.31851851851851853"/>
    <n v="0.19298245614035087"/>
  </r>
  <r>
    <x v="216"/>
    <s v="2025-01-17"/>
    <x v="11"/>
    <s v="P003"/>
    <x v="10"/>
    <x v="1"/>
    <n v="7"/>
    <n v="86"/>
    <x v="3"/>
    <n v="511.7"/>
    <x v="2"/>
    <x v="3"/>
    <n v="140"/>
    <n v="0.27359781121751026"/>
    <n v="0.12280701754385964"/>
  </r>
  <r>
    <x v="217"/>
    <s v="2025-05-24"/>
    <x v="9"/>
    <s v="P027"/>
    <x v="27"/>
    <x v="1"/>
    <n v="10"/>
    <n v="135"/>
    <x v="0"/>
    <n v="1215"/>
    <x v="4"/>
    <x v="5"/>
    <n v="430"/>
    <n v="0.35390946502057613"/>
    <n v="0.17543859649122806"/>
  </r>
  <r>
    <x v="218"/>
    <s v="2025-02-22"/>
    <x v="4"/>
    <s v="P018"/>
    <x v="14"/>
    <x v="2"/>
    <n v="12"/>
    <n v="156"/>
    <x v="2"/>
    <n v="1872"/>
    <x v="5"/>
    <x v="2"/>
    <n v="756"/>
    <n v="0.40384615384615385"/>
    <n v="0.21052631578947367"/>
  </r>
  <r>
    <x v="219"/>
    <s v="2025-01-23"/>
    <x v="7"/>
    <s v="P017"/>
    <x v="3"/>
    <x v="0"/>
    <n v="3"/>
    <n v="151"/>
    <x v="2"/>
    <n v="453"/>
    <x v="4"/>
    <x v="3"/>
    <n v="159"/>
    <n v="0.35099337748344372"/>
    <n v="5.2631578947368418E-2"/>
  </r>
  <r>
    <x v="220"/>
    <s v="2025-04-29"/>
    <x v="11"/>
    <s v="P006"/>
    <x v="26"/>
    <x v="4"/>
    <n v="8"/>
    <n v="140"/>
    <x v="2"/>
    <n v="1120"/>
    <x v="3"/>
    <x v="1"/>
    <n v="784"/>
    <n v="0.7"/>
    <n v="0.14035087719298245"/>
  </r>
  <r>
    <x v="221"/>
    <s v="2025-06-25"/>
    <x v="10"/>
    <s v="P008"/>
    <x v="23"/>
    <x v="3"/>
    <n v="15"/>
    <n v="76"/>
    <x v="2"/>
    <n v="1140"/>
    <x v="0"/>
    <x v="0"/>
    <n v="450"/>
    <n v="0.39473684210526316"/>
    <n v="0.26315789473684209"/>
  </r>
  <r>
    <x v="222"/>
    <s v="2025-01-15"/>
    <x v="8"/>
    <s v="P010"/>
    <x v="18"/>
    <x v="1"/>
    <n v="6"/>
    <n v="160"/>
    <x v="1"/>
    <n v="912"/>
    <x v="0"/>
    <x v="3"/>
    <n v="396"/>
    <n v="0.43421052631578949"/>
    <n v="0.10526315789473684"/>
  </r>
  <r>
    <x v="223"/>
    <s v="2025-01-12"/>
    <x v="6"/>
    <s v="P022"/>
    <x v="7"/>
    <x v="4"/>
    <n v="3"/>
    <n v="147"/>
    <x v="1"/>
    <n v="418.95"/>
    <x v="4"/>
    <x v="3"/>
    <n v="258"/>
    <n v="0.61582527747941285"/>
    <n v="5.2631578947368418E-2"/>
  </r>
  <r>
    <x v="224"/>
    <s v="2025-04-24"/>
    <x v="2"/>
    <s v="P016"/>
    <x v="8"/>
    <x v="0"/>
    <n v="10"/>
    <n v="89"/>
    <x v="3"/>
    <n v="756.5"/>
    <x v="3"/>
    <x v="1"/>
    <n v="650"/>
    <n v="0.85922009253139453"/>
    <n v="0.17543859649122806"/>
  </r>
  <r>
    <x v="225"/>
    <s v="2025-02-11"/>
    <x v="11"/>
    <s v="P020"/>
    <x v="38"/>
    <x v="2"/>
    <n v="2"/>
    <n v="61"/>
    <x v="3"/>
    <n v="103.7"/>
    <x v="1"/>
    <x v="2"/>
    <n v="102"/>
    <n v="0.98360655737704916"/>
    <n v="3.5087719298245612E-2"/>
  </r>
  <r>
    <x v="226"/>
    <s v="2025-05-17"/>
    <x v="4"/>
    <s v="P023"/>
    <x v="30"/>
    <x v="2"/>
    <n v="1"/>
    <n v="37"/>
    <x v="3"/>
    <n v="31.45"/>
    <x v="4"/>
    <x v="5"/>
    <n v="26"/>
    <n v="0.82670906200317962"/>
    <n v="1.7543859649122806E-2"/>
  </r>
  <r>
    <x v="227"/>
    <s v="2025-01-05"/>
    <x v="7"/>
    <s v="P009"/>
    <x v="24"/>
    <x v="4"/>
    <n v="5"/>
    <n v="96"/>
    <x v="1"/>
    <n v="456"/>
    <x v="2"/>
    <x v="3"/>
    <n v="120"/>
    <n v="0.26315789473684209"/>
    <n v="8.771929824561403E-2"/>
  </r>
  <r>
    <x v="228"/>
    <s v="2025-03-08"/>
    <x v="0"/>
    <s v="P040"/>
    <x v="12"/>
    <x v="4"/>
    <n v="8"/>
    <n v="145"/>
    <x v="1"/>
    <n v="1102"/>
    <x v="2"/>
    <x v="4"/>
    <n v="656"/>
    <n v="0.59528130671506352"/>
    <n v="0.14035087719298245"/>
  </r>
  <r>
    <x v="229"/>
    <s v="2025-03-08"/>
    <x v="10"/>
    <s v="P015"/>
    <x v="11"/>
    <x v="4"/>
    <n v="1"/>
    <n v="158"/>
    <x v="3"/>
    <n v="134.30000000000001"/>
    <x v="5"/>
    <x v="4"/>
    <n v="95"/>
    <n v="0.70737155621742365"/>
    <n v="1.7543859649122806E-2"/>
  </r>
  <r>
    <x v="230"/>
    <s v="2025-06-17"/>
    <x v="3"/>
    <s v="P011"/>
    <x v="13"/>
    <x v="1"/>
    <n v="11"/>
    <n v="90"/>
    <x v="3"/>
    <n v="841.5"/>
    <x v="2"/>
    <x v="0"/>
    <n v="341"/>
    <n v="0.40522875816993464"/>
    <n v="0.19298245614035087"/>
  </r>
  <r>
    <x v="231"/>
    <s v="2025-02-13"/>
    <x v="5"/>
    <s v="P035"/>
    <x v="15"/>
    <x v="0"/>
    <n v="14"/>
    <n v="199"/>
    <x v="2"/>
    <n v="2786"/>
    <x v="2"/>
    <x v="2"/>
    <n v="1302"/>
    <n v="0.46733668341708545"/>
    <n v="0.24561403508771928"/>
  </r>
  <r>
    <x v="232"/>
    <s v="2025-03-30"/>
    <x v="0"/>
    <s v="P024"/>
    <x v="39"/>
    <x v="1"/>
    <n v="5"/>
    <n v="144"/>
    <x v="1"/>
    <n v="684"/>
    <x v="2"/>
    <x v="4"/>
    <n v="280"/>
    <n v="0.40935672514619881"/>
    <n v="8.771929824561403E-2"/>
  </r>
  <r>
    <x v="233"/>
    <s v="2025-02-06"/>
    <x v="0"/>
    <s v="P002"/>
    <x v="4"/>
    <x v="3"/>
    <n v="6"/>
    <n v="146"/>
    <x v="3"/>
    <n v="744.6"/>
    <x v="0"/>
    <x v="2"/>
    <n v="300"/>
    <n v="0.40290088638195004"/>
    <n v="0.10526315789473684"/>
  </r>
  <r>
    <x v="234"/>
    <s v="2025-05-13"/>
    <x v="3"/>
    <s v="P020"/>
    <x v="38"/>
    <x v="2"/>
    <n v="14"/>
    <n v="61"/>
    <x v="1"/>
    <n v="811.3"/>
    <x v="4"/>
    <x v="5"/>
    <n v="714"/>
    <n v="0.88006902502157036"/>
    <n v="0.24561403508771928"/>
  </r>
  <r>
    <x v="235"/>
    <s v="2025-05-24"/>
    <x v="2"/>
    <s v="P022"/>
    <x v="7"/>
    <x v="4"/>
    <n v="1"/>
    <n v="147"/>
    <x v="2"/>
    <n v="147"/>
    <x v="3"/>
    <x v="5"/>
    <n v="86"/>
    <n v="0.58503401360544216"/>
    <n v="1.7543859649122806E-2"/>
  </r>
  <r>
    <x v="236"/>
    <s v="2025-06-19"/>
    <x v="7"/>
    <s v="P024"/>
    <x v="39"/>
    <x v="1"/>
    <n v="1"/>
    <n v="144"/>
    <x v="1"/>
    <n v="136.80000000000001"/>
    <x v="1"/>
    <x v="0"/>
    <n v="56"/>
    <n v="0.40935672514619881"/>
    <n v="1.7543859649122806E-2"/>
  </r>
  <r>
    <x v="237"/>
    <s v="2025-04-20"/>
    <x v="10"/>
    <s v="P010"/>
    <x v="18"/>
    <x v="1"/>
    <n v="4"/>
    <n v="160"/>
    <x v="0"/>
    <n v="576"/>
    <x v="2"/>
    <x v="1"/>
    <n v="264"/>
    <n v="0.45833333333333331"/>
    <n v="7.0175438596491224E-2"/>
  </r>
  <r>
    <x v="238"/>
    <s v="2025-05-15"/>
    <x v="11"/>
    <s v="P013"/>
    <x v="0"/>
    <x v="0"/>
    <n v="3"/>
    <n v="143"/>
    <x v="2"/>
    <n v="429"/>
    <x v="2"/>
    <x v="5"/>
    <n v="126"/>
    <n v="0.2937062937062937"/>
    <n v="5.2631578947368418E-2"/>
  </r>
  <r>
    <x v="239"/>
    <s v="2025-01-21"/>
    <x v="6"/>
    <s v="P017"/>
    <x v="3"/>
    <x v="0"/>
    <n v="13"/>
    <n v="151"/>
    <x v="1"/>
    <n v="1864.85"/>
    <x v="5"/>
    <x v="3"/>
    <n v="689"/>
    <n v="0.36946671314046708"/>
    <n v="0.22807017543859648"/>
  </r>
  <r>
    <x v="240"/>
    <s v="2025-06-08"/>
    <x v="8"/>
    <s v="P022"/>
    <x v="7"/>
    <x v="4"/>
    <n v="9"/>
    <n v="147"/>
    <x v="0"/>
    <n v="1190.7"/>
    <x v="3"/>
    <x v="0"/>
    <n v="774"/>
    <n v="0.65003779289493568"/>
    <n v="0.15789473684210525"/>
  </r>
  <r>
    <x v="241"/>
    <s v="2025-02-08"/>
    <x v="0"/>
    <s v="P001"/>
    <x v="21"/>
    <x v="2"/>
    <n v="9"/>
    <n v="74"/>
    <x v="0"/>
    <n v="599.4"/>
    <x v="4"/>
    <x v="2"/>
    <n v="252"/>
    <n v="0.42042042042042044"/>
    <n v="0.15789473684210525"/>
  </r>
  <r>
    <x v="242"/>
    <s v="2025-05-25"/>
    <x v="11"/>
    <s v="P012"/>
    <x v="17"/>
    <x v="0"/>
    <n v="14"/>
    <n v="98"/>
    <x v="0"/>
    <n v="1234.8"/>
    <x v="4"/>
    <x v="5"/>
    <n v="308"/>
    <n v="0.24943310657596374"/>
    <n v="0.24561403508771928"/>
  </r>
  <r>
    <x v="243"/>
    <s v="2025-06-04"/>
    <x v="10"/>
    <s v="P003"/>
    <x v="10"/>
    <x v="1"/>
    <n v="12"/>
    <n v="86"/>
    <x v="0"/>
    <n v="928.8"/>
    <x v="0"/>
    <x v="0"/>
    <n v="240"/>
    <n v="0.2583979328165375"/>
    <n v="0.21052631578947367"/>
  </r>
  <r>
    <x v="244"/>
    <s v="2025-05-28"/>
    <x v="6"/>
    <s v="P010"/>
    <x v="18"/>
    <x v="1"/>
    <n v="6"/>
    <n v="160"/>
    <x v="1"/>
    <n v="912"/>
    <x v="2"/>
    <x v="5"/>
    <n v="396"/>
    <n v="0.43421052631578949"/>
    <n v="0.10526315789473684"/>
  </r>
  <r>
    <x v="245"/>
    <s v="2025-01-19"/>
    <x v="5"/>
    <s v="P007"/>
    <x v="16"/>
    <x v="3"/>
    <n v="4"/>
    <n v="128"/>
    <x v="2"/>
    <n v="512"/>
    <x v="5"/>
    <x v="3"/>
    <n v="212"/>
    <n v="0.4140625"/>
    <n v="7.0175438596491224E-2"/>
  </r>
  <r>
    <x v="246"/>
    <s v="2025-03-24"/>
    <x v="9"/>
    <s v="P010"/>
    <x v="18"/>
    <x v="1"/>
    <n v="3"/>
    <n v="160"/>
    <x v="1"/>
    <n v="456"/>
    <x v="0"/>
    <x v="4"/>
    <n v="198"/>
    <n v="0.43421052631578949"/>
    <n v="5.2631578947368418E-2"/>
  </r>
  <r>
    <x v="247"/>
    <s v="2025-01-03"/>
    <x v="6"/>
    <s v="P028"/>
    <x v="35"/>
    <x v="1"/>
    <n v="13"/>
    <n v="109"/>
    <x v="0"/>
    <n v="1275.3"/>
    <x v="2"/>
    <x v="3"/>
    <n v="715"/>
    <n v="0.56065239551478085"/>
    <n v="0.22807017543859648"/>
  </r>
  <r>
    <x v="248"/>
    <s v="2025-03-22"/>
    <x v="6"/>
    <s v="P003"/>
    <x v="10"/>
    <x v="1"/>
    <n v="4"/>
    <n v="86"/>
    <x v="1"/>
    <n v="326.8"/>
    <x v="1"/>
    <x v="4"/>
    <n v="80"/>
    <n v="0.24479804161566707"/>
    <n v="7.0175438596491224E-2"/>
  </r>
  <r>
    <x v="249"/>
    <s v="2025-01-11"/>
    <x v="5"/>
    <s v="P011"/>
    <x v="13"/>
    <x v="1"/>
    <n v="13"/>
    <n v="90"/>
    <x v="3"/>
    <n v="994.5"/>
    <x v="4"/>
    <x v="3"/>
    <n v="403"/>
    <n v="0.40522875816993464"/>
    <n v="0.22807017543859648"/>
  </r>
  <r>
    <x v="250"/>
    <s v="2025-05-16"/>
    <x v="3"/>
    <s v="P010"/>
    <x v="18"/>
    <x v="1"/>
    <n v="9"/>
    <n v="160"/>
    <x v="2"/>
    <n v="1440"/>
    <x v="0"/>
    <x v="5"/>
    <n v="594"/>
    <n v="0.41249999999999998"/>
    <n v="0.15789473684210525"/>
  </r>
  <r>
    <x v="251"/>
    <s v="2025-03-29"/>
    <x v="6"/>
    <s v="P032"/>
    <x v="25"/>
    <x v="3"/>
    <n v="4"/>
    <n v="130"/>
    <x v="0"/>
    <n v="468"/>
    <x v="5"/>
    <x v="4"/>
    <n v="180"/>
    <n v="0.38461538461538464"/>
    <n v="7.0175438596491224E-2"/>
  </r>
  <r>
    <x v="252"/>
    <s v="2025-05-31"/>
    <x v="2"/>
    <s v="P026"/>
    <x v="20"/>
    <x v="4"/>
    <n v="15"/>
    <n v="82"/>
    <x v="3"/>
    <n v="1045.5"/>
    <x v="5"/>
    <x v="5"/>
    <n v="600"/>
    <n v="0.57388809182209466"/>
    <n v="0.26315789473684209"/>
  </r>
  <r>
    <x v="253"/>
    <s v="2025-05-16"/>
    <x v="10"/>
    <s v="P024"/>
    <x v="39"/>
    <x v="1"/>
    <n v="15"/>
    <n v="144"/>
    <x v="2"/>
    <n v="2160"/>
    <x v="4"/>
    <x v="5"/>
    <n v="840"/>
    <n v="0.3888888888888889"/>
    <n v="0.26315789473684209"/>
  </r>
  <r>
    <x v="254"/>
    <s v="2025-05-03"/>
    <x v="5"/>
    <s v="P032"/>
    <x v="25"/>
    <x v="3"/>
    <n v="9"/>
    <n v="130"/>
    <x v="1"/>
    <n v="1111.5"/>
    <x v="0"/>
    <x v="5"/>
    <n v="405"/>
    <n v="0.36437246963562753"/>
    <n v="0.15789473684210525"/>
  </r>
  <r>
    <x v="255"/>
    <s v="2025-04-25"/>
    <x v="5"/>
    <s v="P021"/>
    <x v="29"/>
    <x v="3"/>
    <n v="8"/>
    <n v="65"/>
    <x v="2"/>
    <n v="520"/>
    <x v="1"/>
    <x v="1"/>
    <n v="176"/>
    <n v="0.33846153846153848"/>
    <n v="0.14035087719298245"/>
  </r>
  <r>
    <x v="256"/>
    <s v="2025-04-25"/>
    <x v="0"/>
    <s v="P033"/>
    <x v="28"/>
    <x v="0"/>
    <n v="6"/>
    <n v="52"/>
    <x v="2"/>
    <n v="312"/>
    <x v="4"/>
    <x v="1"/>
    <n v="234"/>
    <n v="0.75"/>
    <n v="0.10526315789473684"/>
  </r>
  <r>
    <x v="257"/>
    <s v="2025-06-17"/>
    <x v="10"/>
    <s v="P027"/>
    <x v="27"/>
    <x v="1"/>
    <n v="3"/>
    <n v="135"/>
    <x v="0"/>
    <n v="364.5"/>
    <x v="5"/>
    <x v="0"/>
    <n v="129"/>
    <n v="0.35390946502057613"/>
    <n v="5.2631578947368418E-2"/>
  </r>
  <r>
    <x v="258"/>
    <s v="2025-06-08"/>
    <x v="10"/>
    <s v="P012"/>
    <x v="17"/>
    <x v="0"/>
    <n v="13"/>
    <n v="98"/>
    <x v="0"/>
    <n v="1146.5999999999999"/>
    <x v="2"/>
    <x v="0"/>
    <n v="286"/>
    <n v="0.24943310657596374"/>
    <n v="0.22807017543859648"/>
  </r>
  <r>
    <x v="259"/>
    <s v="2025-03-21"/>
    <x v="7"/>
    <s v="P027"/>
    <x v="27"/>
    <x v="1"/>
    <n v="8"/>
    <n v="135"/>
    <x v="2"/>
    <n v="1080"/>
    <x v="4"/>
    <x v="4"/>
    <n v="344"/>
    <n v="0.31851851851851853"/>
    <n v="0.14035087719298245"/>
  </r>
  <r>
    <x v="260"/>
    <s v="2025-02-12"/>
    <x v="7"/>
    <s v="P024"/>
    <x v="39"/>
    <x v="1"/>
    <n v="7"/>
    <n v="144"/>
    <x v="3"/>
    <n v="856.8"/>
    <x v="5"/>
    <x v="2"/>
    <n v="392"/>
    <n v="0.45751633986928109"/>
    <n v="0.12280701754385964"/>
  </r>
  <r>
    <x v="261"/>
    <s v="2025-04-27"/>
    <x v="4"/>
    <s v="P027"/>
    <x v="27"/>
    <x v="1"/>
    <n v="7"/>
    <n v="135"/>
    <x v="2"/>
    <n v="945"/>
    <x v="2"/>
    <x v="1"/>
    <n v="301"/>
    <n v="0.31851851851851853"/>
    <n v="0.12280701754385964"/>
  </r>
  <r>
    <x v="262"/>
    <s v="2025-06-01"/>
    <x v="2"/>
    <s v="P024"/>
    <x v="39"/>
    <x v="1"/>
    <n v="13"/>
    <n v="144"/>
    <x v="3"/>
    <n v="1591.2"/>
    <x v="4"/>
    <x v="0"/>
    <n v="728"/>
    <n v="0.45751633986928103"/>
    <n v="0.22807017543859648"/>
  </r>
  <r>
    <x v="263"/>
    <s v="2025-03-24"/>
    <x v="5"/>
    <s v="P017"/>
    <x v="3"/>
    <x v="0"/>
    <n v="10"/>
    <n v="151"/>
    <x v="3"/>
    <n v="1283.5"/>
    <x v="1"/>
    <x v="4"/>
    <n v="530"/>
    <n v="0.41293338527463963"/>
    <n v="0.17543859649122806"/>
  </r>
  <r>
    <x v="264"/>
    <s v="2025-06-28"/>
    <x v="5"/>
    <s v="P002"/>
    <x v="4"/>
    <x v="3"/>
    <n v="3"/>
    <n v="146"/>
    <x v="0"/>
    <n v="394.2"/>
    <x v="1"/>
    <x v="0"/>
    <n v="150"/>
    <n v="0.38051750380517507"/>
    <n v="5.2631578947368418E-2"/>
  </r>
  <r>
    <x v="265"/>
    <s v="2025-01-20"/>
    <x v="0"/>
    <s v="P030"/>
    <x v="32"/>
    <x v="0"/>
    <n v="3"/>
    <n v="135"/>
    <x v="1"/>
    <n v="384.75"/>
    <x v="4"/>
    <x v="3"/>
    <n v="240"/>
    <n v="0.62378167641325533"/>
    <n v="5.2631578947368418E-2"/>
  </r>
  <r>
    <x v="266"/>
    <s v="2025-01-19"/>
    <x v="0"/>
    <s v="P010"/>
    <x v="18"/>
    <x v="1"/>
    <n v="10"/>
    <n v="160"/>
    <x v="1"/>
    <n v="1520"/>
    <x v="3"/>
    <x v="3"/>
    <n v="660"/>
    <n v="0.43421052631578949"/>
    <n v="0.17543859649122806"/>
  </r>
  <r>
    <x v="267"/>
    <s v="2025-03-22"/>
    <x v="11"/>
    <s v="P026"/>
    <x v="20"/>
    <x v="4"/>
    <n v="12"/>
    <n v="82"/>
    <x v="3"/>
    <n v="836.4"/>
    <x v="2"/>
    <x v="4"/>
    <n v="480"/>
    <n v="0.57388809182209466"/>
    <n v="0.21052631578947367"/>
  </r>
  <r>
    <x v="268"/>
    <s v="2025-01-29"/>
    <x v="1"/>
    <s v="P013"/>
    <x v="0"/>
    <x v="0"/>
    <n v="10"/>
    <n v="143"/>
    <x v="3"/>
    <n v="1215.5"/>
    <x v="4"/>
    <x v="3"/>
    <n v="420"/>
    <n v="0.34553681612505144"/>
    <n v="0.17543859649122806"/>
  </r>
  <r>
    <x v="269"/>
    <s v="2025-04-10"/>
    <x v="6"/>
    <s v="P002"/>
    <x v="4"/>
    <x v="3"/>
    <n v="9"/>
    <n v="146"/>
    <x v="2"/>
    <n v="1314"/>
    <x v="2"/>
    <x v="1"/>
    <n v="450"/>
    <n v="0.34246575342465752"/>
    <n v="0.15789473684210525"/>
  </r>
  <r>
    <x v="270"/>
    <s v="2025-02-21"/>
    <x v="3"/>
    <s v="P034"/>
    <x v="5"/>
    <x v="0"/>
    <n v="5"/>
    <n v="154"/>
    <x v="3"/>
    <n v="654.5"/>
    <x v="4"/>
    <x v="2"/>
    <n v="290"/>
    <n v="0.44308632543926663"/>
    <n v="8.771929824561403E-2"/>
  </r>
  <r>
    <x v="271"/>
    <s v="2025-01-04"/>
    <x v="10"/>
    <s v="P008"/>
    <x v="23"/>
    <x v="3"/>
    <n v="4"/>
    <n v="76"/>
    <x v="1"/>
    <n v="288.8"/>
    <x v="2"/>
    <x v="3"/>
    <n v="120"/>
    <n v="0.41551246537396119"/>
    <n v="7.0175438596491224E-2"/>
  </r>
  <r>
    <x v="272"/>
    <s v="2025-01-30"/>
    <x v="7"/>
    <s v="P033"/>
    <x v="28"/>
    <x v="0"/>
    <n v="6"/>
    <n v="52"/>
    <x v="0"/>
    <n v="280.8"/>
    <x v="3"/>
    <x v="3"/>
    <n v="234"/>
    <n v="0.83333333333333326"/>
    <n v="0.10526315789473684"/>
  </r>
  <r>
    <x v="273"/>
    <s v="2025-02-14"/>
    <x v="5"/>
    <s v="P014"/>
    <x v="36"/>
    <x v="2"/>
    <n v="7"/>
    <n v="96"/>
    <x v="0"/>
    <n v="604.79999999999995"/>
    <x v="3"/>
    <x v="2"/>
    <n v="532"/>
    <n v="0.87962962962962965"/>
    <n v="0.12280701754385964"/>
  </r>
  <r>
    <x v="274"/>
    <s v="2025-06-26"/>
    <x v="0"/>
    <s v="P036"/>
    <x v="6"/>
    <x v="0"/>
    <n v="9"/>
    <n v="139"/>
    <x v="1"/>
    <n v="1188.45"/>
    <x v="5"/>
    <x v="0"/>
    <n v="630"/>
    <n v="0.53010223400227185"/>
    <n v="0.15789473684210525"/>
  </r>
  <r>
    <x v="275"/>
    <s v="2025-05-19"/>
    <x v="10"/>
    <s v="P026"/>
    <x v="20"/>
    <x v="4"/>
    <n v="4"/>
    <n v="82"/>
    <x v="0"/>
    <n v="295.2"/>
    <x v="3"/>
    <x v="5"/>
    <n v="160"/>
    <n v="0.5420054200542006"/>
    <n v="7.0175438596491224E-2"/>
  </r>
  <r>
    <x v="276"/>
    <s v="2025-04-12"/>
    <x v="0"/>
    <s v="P015"/>
    <x v="11"/>
    <x v="4"/>
    <n v="10"/>
    <n v="158"/>
    <x v="2"/>
    <n v="1580"/>
    <x v="0"/>
    <x v="1"/>
    <n v="950"/>
    <n v="0.60126582278481011"/>
    <n v="0.17543859649122806"/>
  </r>
  <r>
    <x v="277"/>
    <s v="2025-05-03"/>
    <x v="8"/>
    <s v="P009"/>
    <x v="24"/>
    <x v="4"/>
    <n v="11"/>
    <n v="96"/>
    <x v="0"/>
    <n v="950.4"/>
    <x v="3"/>
    <x v="5"/>
    <n v="264"/>
    <n v="0.27777777777777779"/>
    <n v="0.19298245614035087"/>
  </r>
  <r>
    <x v="278"/>
    <s v="2025-02-14"/>
    <x v="10"/>
    <s v="P032"/>
    <x v="25"/>
    <x v="3"/>
    <n v="2"/>
    <n v="130"/>
    <x v="2"/>
    <n v="260"/>
    <x v="4"/>
    <x v="2"/>
    <n v="90"/>
    <n v="0.34615384615384615"/>
    <n v="3.5087719298245612E-2"/>
  </r>
  <r>
    <x v="279"/>
    <s v="2025-05-13"/>
    <x v="0"/>
    <s v="P025"/>
    <x v="19"/>
    <x v="4"/>
    <n v="15"/>
    <n v="168"/>
    <x v="2"/>
    <n v="2520"/>
    <x v="0"/>
    <x v="5"/>
    <n v="825"/>
    <n v="0.32738095238095238"/>
    <n v="0.26315789473684209"/>
  </r>
  <r>
    <x v="280"/>
    <s v="2025-04-20"/>
    <x v="7"/>
    <s v="P018"/>
    <x v="14"/>
    <x v="2"/>
    <n v="10"/>
    <n v="156"/>
    <x v="0"/>
    <n v="1404"/>
    <x v="3"/>
    <x v="1"/>
    <n v="630"/>
    <n v="0.44871794871794873"/>
    <n v="0.17543859649122806"/>
  </r>
  <r>
    <x v="281"/>
    <s v="2025-02-20"/>
    <x v="7"/>
    <s v="P035"/>
    <x v="15"/>
    <x v="0"/>
    <n v="12"/>
    <n v="199"/>
    <x v="1"/>
    <n v="2268.6"/>
    <x v="0"/>
    <x v="2"/>
    <n v="1116"/>
    <n v="0.49193335096535312"/>
    <n v="0.21052631578947367"/>
  </r>
  <r>
    <x v="282"/>
    <s v="2025-02-20"/>
    <x v="2"/>
    <s v="P023"/>
    <x v="30"/>
    <x v="2"/>
    <n v="6"/>
    <n v="37"/>
    <x v="0"/>
    <n v="199.8"/>
    <x v="5"/>
    <x v="2"/>
    <n v="156"/>
    <n v="0.78078078078078073"/>
    <n v="0.10526315789473684"/>
  </r>
  <r>
    <x v="283"/>
    <s v="2025-04-01"/>
    <x v="0"/>
    <s v="P012"/>
    <x v="17"/>
    <x v="0"/>
    <n v="4"/>
    <n v="98"/>
    <x v="3"/>
    <n v="333.2"/>
    <x v="1"/>
    <x v="1"/>
    <n v="88"/>
    <n v="0.26410564225690275"/>
    <n v="7.0175438596491224E-2"/>
  </r>
  <r>
    <x v="284"/>
    <s v="2025-02-08"/>
    <x v="10"/>
    <s v="P009"/>
    <x v="24"/>
    <x v="4"/>
    <n v="7"/>
    <n v="96"/>
    <x v="3"/>
    <n v="571.20000000000005"/>
    <x v="1"/>
    <x v="2"/>
    <n v="168"/>
    <n v="0.29411764705882348"/>
    <n v="0.12280701754385964"/>
  </r>
  <r>
    <x v="285"/>
    <s v="2025-05-18"/>
    <x v="6"/>
    <s v="P020"/>
    <x v="38"/>
    <x v="2"/>
    <n v="15"/>
    <n v="61"/>
    <x v="1"/>
    <n v="869.25"/>
    <x v="2"/>
    <x v="5"/>
    <n v="765"/>
    <n v="0.88006902502157036"/>
    <n v="0.26315789473684209"/>
  </r>
  <r>
    <x v="286"/>
    <s v="2025-01-14"/>
    <x v="10"/>
    <s v="P036"/>
    <x v="6"/>
    <x v="0"/>
    <n v="13"/>
    <n v="139"/>
    <x v="0"/>
    <n v="1626.3"/>
    <x v="1"/>
    <x v="3"/>
    <n v="910"/>
    <n v="0.55955235811350923"/>
    <n v="0.22807017543859648"/>
  </r>
  <r>
    <x v="287"/>
    <s v="2025-05-23"/>
    <x v="2"/>
    <s v="P027"/>
    <x v="27"/>
    <x v="1"/>
    <n v="8"/>
    <n v="135"/>
    <x v="2"/>
    <n v="1080"/>
    <x v="3"/>
    <x v="5"/>
    <n v="344"/>
    <n v="0.31851851851851853"/>
    <n v="0.14035087719298245"/>
  </r>
  <r>
    <x v="288"/>
    <s v="2025-03-24"/>
    <x v="5"/>
    <s v="P022"/>
    <x v="7"/>
    <x v="4"/>
    <n v="9"/>
    <n v="147"/>
    <x v="0"/>
    <n v="1190.7"/>
    <x v="2"/>
    <x v="4"/>
    <n v="774"/>
    <n v="0.65003779289493568"/>
    <n v="0.15789473684210525"/>
  </r>
  <r>
    <x v="289"/>
    <s v="2025-06-28"/>
    <x v="11"/>
    <s v="P040"/>
    <x v="12"/>
    <x v="4"/>
    <n v="12"/>
    <n v="145"/>
    <x v="0"/>
    <n v="1566"/>
    <x v="3"/>
    <x v="0"/>
    <n v="984"/>
    <n v="0.62835249042145591"/>
    <n v="0.21052631578947367"/>
  </r>
  <r>
    <x v="290"/>
    <s v="2025-01-07"/>
    <x v="2"/>
    <s v="P034"/>
    <x v="5"/>
    <x v="0"/>
    <n v="1"/>
    <n v="154"/>
    <x v="1"/>
    <n v="146.30000000000001"/>
    <x v="1"/>
    <x v="3"/>
    <n v="58"/>
    <n v="0.39644565960355432"/>
    <n v="1.7543859649122806E-2"/>
  </r>
  <r>
    <x v="291"/>
    <s v="2025-03-08"/>
    <x v="8"/>
    <s v="P008"/>
    <x v="23"/>
    <x v="3"/>
    <n v="14"/>
    <n v="76"/>
    <x v="0"/>
    <n v="957.6"/>
    <x v="5"/>
    <x v="4"/>
    <n v="420"/>
    <n v="0.43859649122807015"/>
    <n v="0.24561403508771928"/>
  </r>
  <r>
    <x v="292"/>
    <s v="2025-01-02"/>
    <x v="7"/>
    <s v="P034"/>
    <x v="5"/>
    <x v="0"/>
    <n v="15"/>
    <n v="154"/>
    <x v="1"/>
    <n v="2194.5"/>
    <x v="2"/>
    <x v="3"/>
    <n v="870"/>
    <n v="0.39644565960355432"/>
    <n v="0.26315789473684209"/>
  </r>
  <r>
    <x v="293"/>
    <s v="2025-03-28"/>
    <x v="7"/>
    <s v="P030"/>
    <x v="32"/>
    <x v="0"/>
    <n v="9"/>
    <n v="135"/>
    <x v="1"/>
    <n v="1154.25"/>
    <x v="4"/>
    <x v="4"/>
    <n v="720"/>
    <n v="0.62378167641325533"/>
    <n v="0.15789473684210525"/>
  </r>
  <r>
    <x v="294"/>
    <s v="2025-03-12"/>
    <x v="0"/>
    <s v="P023"/>
    <x v="30"/>
    <x v="2"/>
    <n v="11"/>
    <n v="37"/>
    <x v="3"/>
    <n v="345.95"/>
    <x v="4"/>
    <x v="4"/>
    <n v="286"/>
    <n v="0.82670906200317973"/>
    <n v="0.19298245614035087"/>
  </r>
  <r>
    <x v="295"/>
    <s v="2025-06-11"/>
    <x v="6"/>
    <s v="P024"/>
    <x v="39"/>
    <x v="1"/>
    <n v="10"/>
    <n v="144"/>
    <x v="3"/>
    <n v="1224"/>
    <x v="4"/>
    <x v="0"/>
    <n v="560"/>
    <n v="0.45751633986928103"/>
    <n v="0.17543859649122806"/>
  </r>
  <r>
    <x v="296"/>
    <s v="2025-02-19"/>
    <x v="3"/>
    <s v="P016"/>
    <x v="8"/>
    <x v="0"/>
    <n v="12"/>
    <n v="89"/>
    <x v="3"/>
    <n v="907.8"/>
    <x v="4"/>
    <x v="2"/>
    <n v="780"/>
    <n v="0.85922009253139464"/>
    <n v="0.21052631578947367"/>
  </r>
  <r>
    <x v="297"/>
    <s v="2025-06-14"/>
    <x v="11"/>
    <s v="P035"/>
    <x v="15"/>
    <x v="0"/>
    <n v="5"/>
    <n v="199"/>
    <x v="3"/>
    <n v="845.75"/>
    <x v="3"/>
    <x v="0"/>
    <n v="465"/>
    <n v="0.54980786284362992"/>
    <n v="8.771929824561403E-2"/>
  </r>
  <r>
    <x v="298"/>
    <s v="2025-06-20"/>
    <x v="3"/>
    <s v="P017"/>
    <x v="3"/>
    <x v="0"/>
    <n v="3"/>
    <n v="151"/>
    <x v="2"/>
    <n v="453"/>
    <x v="1"/>
    <x v="0"/>
    <n v="159"/>
    <n v="0.35099337748344372"/>
    <n v="5.2631578947368418E-2"/>
  </r>
  <r>
    <x v="299"/>
    <s v="2025-06-26"/>
    <x v="2"/>
    <s v="P004"/>
    <x v="22"/>
    <x v="1"/>
    <n v="1"/>
    <n v="99"/>
    <x v="2"/>
    <n v="99"/>
    <x v="1"/>
    <x v="0"/>
    <n v="24"/>
    <n v="0.24242424242424243"/>
    <n v="1.7543859649122806E-2"/>
  </r>
  <r>
    <x v="300"/>
    <s v="2025-06-01"/>
    <x v="3"/>
    <s v="P003"/>
    <x v="10"/>
    <x v="1"/>
    <n v="12"/>
    <n v="86"/>
    <x v="1"/>
    <n v="980.4"/>
    <x v="5"/>
    <x v="0"/>
    <n v="240"/>
    <n v="0.24479804161566707"/>
    <n v="0.21052631578947367"/>
  </r>
  <r>
    <x v="301"/>
    <s v="2025-06-09"/>
    <x v="11"/>
    <s v="P037"/>
    <x v="2"/>
    <x v="2"/>
    <n v="15"/>
    <n v="160"/>
    <x v="1"/>
    <n v="2280"/>
    <x v="2"/>
    <x v="0"/>
    <n v="825"/>
    <n v="0.36184210526315791"/>
    <n v="0.26315789473684209"/>
  </r>
  <r>
    <x v="302"/>
    <s v="2025-03-22"/>
    <x v="4"/>
    <s v="P010"/>
    <x v="18"/>
    <x v="1"/>
    <n v="14"/>
    <n v="160"/>
    <x v="0"/>
    <n v="2016"/>
    <x v="0"/>
    <x v="4"/>
    <n v="924"/>
    <n v="0.45833333333333331"/>
    <n v="0.24561403508771928"/>
  </r>
  <r>
    <x v="303"/>
    <s v="2025-04-02"/>
    <x v="7"/>
    <s v="P017"/>
    <x v="3"/>
    <x v="0"/>
    <n v="1"/>
    <n v="151"/>
    <x v="1"/>
    <n v="143.44999999999999"/>
    <x v="2"/>
    <x v="1"/>
    <n v="53"/>
    <n v="0.36946671314046708"/>
    <n v="1.7543859649122806E-2"/>
  </r>
  <r>
    <x v="304"/>
    <s v="2025-04-08"/>
    <x v="0"/>
    <s v="P032"/>
    <x v="25"/>
    <x v="3"/>
    <n v="8"/>
    <n v="130"/>
    <x v="3"/>
    <n v="884"/>
    <x v="2"/>
    <x v="1"/>
    <n v="360"/>
    <n v="0.40723981900452488"/>
    <n v="0.14035087719298245"/>
  </r>
  <r>
    <x v="305"/>
    <s v="2025-02-03"/>
    <x v="2"/>
    <s v="P016"/>
    <x v="8"/>
    <x v="0"/>
    <n v="7"/>
    <n v="89"/>
    <x v="2"/>
    <n v="623"/>
    <x v="4"/>
    <x v="2"/>
    <n v="455"/>
    <n v="0.7303370786516854"/>
    <n v="0.12280701754385964"/>
  </r>
  <r>
    <x v="306"/>
    <s v="2025-01-12"/>
    <x v="0"/>
    <s v="P023"/>
    <x v="30"/>
    <x v="2"/>
    <n v="14"/>
    <n v="37"/>
    <x v="2"/>
    <n v="518"/>
    <x v="0"/>
    <x v="3"/>
    <n v="364"/>
    <n v="0.70270270270270274"/>
    <n v="0.24561403508771928"/>
  </r>
  <r>
    <x v="307"/>
    <s v="2025-05-23"/>
    <x v="3"/>
    <s v="P009"/>
    <x v="24"/>
    <x v="4"/>
    <n v="4"/>
    <n v="96"/>
    <x v="2"/>
    <n v="384"/>
    <x v="0"/>
    <x v="5"/>
    <n v="96"/>
    <n v="0.25"/>
    <n v="7.0175438596491224E-2"/>
  </r>
  <r>
    <x v="308"/>
    <s v="2025-06-05"/>
    <x v="10"/>
    <s v="P020"/>
    <x v="38"/>
    <x v="2"/>
    <n v="12"/>
    <n v="61"/>
    <x v="3"/>
    <n v="622.20000000000005"/>
    <x v="2"/>
    <x v="0"/>
    <n v="612"/>
    <n v="0.98360655737704916"/>
    <n v="0.21052631578947367"/>
  </r>
  <r>
    <x v="309"/>
    <s v="2025-04-11"/>
    <x v="7"/>
    <s v="P024"/>
    <x v="39"/>
    <x v="1"/>
    <n v="14"/>
    <n v="144"/>
    <x v="1"/>
    <n v="1915.2"/>
    <x v="2"/>
    <x v="1"/>
    <n v="784"/>
    <n v="0.40935672514619881"/>
    <n v="0.24561403508771928"/>
  </r>
  <r>
    <x v="310"/>
    <s v="2025-04-17"/>
    <x v="0"/>
    <s v="P006"/>
    <x v="26"/>
    <x v="4"/>
    <n v="12"/>
    <n v="140"/>
    <x v="0"/>
    <n v="1512"/>
    <x v="2"/>
    <x v="1"/>
    <n v="1176"/>
    <n v="0.77777777777777779"/>
    <n v="0.21052631578947367"/>
  </r>
  <r>
    <x v="311"/>
    <s v="2025-02-02"/>
    <x v="6"/>
    <s v="P004"/>
    <x v="22"/>
    <x v="1"/>
    <n v="8"/>
    <n v="99"/>
    <x v="2"/>
    <n v="792"/>
    <x v="1"/>
    <x v="2"/>
    <n v="192"/>
    <n v="0.24242424242424243"/>
    <n v="0.14035087719298245"/>
  </r>
  <r>
    <x v="312"/>
    <s v="2025-03-02"/>
    <x v="2"/>
    <s v="P013"/>
    <x v="0"/>
    <x v="0"/>
    <n v="15"/>
    <n v="143"/>
    <x v="0"/>
    <n v="1930.5"/>
    <x v="3"/>
    <x v="4"/>
    <n v="630"/>
    <n v="0.32634032634032634"/>
    <n v="0.26315789473684209"/>
  </r>
  <r>
    <x v="313"/>
    <s v="2025-06-13"/>
    <x v="6"/>
    <s v="P038"/>
    <x v="37"/>
    <x v="3"/>
    <n v="8"/>
    <n v="113"/>
    <x v="2"/>
    <n v="904"/>
    <x v="0"/>
    <x v="0"/>
    <n v="400"/>
    <n v="0.44247787610619471"/>
    <n v="0.14035087719298245"/>
  </r>
  <r>
    <x v="314"/>
    <s v="2025-02-27"/>
    <x v="7"/>
    <s v="P033"/>
    <x v="28"/>
    <x v="0"/>
    <n v="15"/>
    <n v="52"/>
    <x v="1"/>
    <n v="741"/>
    <x v="0"/>
    <x v="2"/>
    <n v="585"/>
    <n v="0.78947368421052633"/>
    <n v="0.26315789473684209"/>
  </r>
  <r>
    <x v="315"/>
    <s v="2025-03-10"/>
    <x v="2"/>
    <s v="P008"/>
    <x v="23"/>
    <x v="3"/>
    <n v="2"/>
    <n v="76"/>
    <x v="1"/>
    <n v="144.4"/>
    <x v="2"/>
    <x v="4"/>
    <n v="60"/>
    <n v="0.41551246537396119"/>
    <n v="3.5087719298245612E-2"/>
  </r>
  <r>
    <x v="316"/>
    <s v="2025-03-29"/>
    <x v="6"/>
    <s v="P038"/>
    <x v="37"/>
    <x v="3"/>
    <n v="3"/>
    <n v="113"/>
    <x v="3"/>
    <n v="288.14999999999998"/>
    <x v="5"/>
    <x v="4"/>
    <n v="150"/>
    <n v="0.52056220718375845"/>
    <n v="5.2631578947368418E-2"/>
  </r>
  <r>
    <x v="317"/>
    <s v="2025-06-08"/>
    <x v="6"/>
    <s v="P020"/>
    <x v="38"/>
    <x v="2"/>
    <n v="12"/>
    <n v="61"/>
    <x v="1"/>
    <n v="695.4"/>
    <x v="3"/>
    <x v="0"/>
    <n v="612"/>
    <n v="0.88006902502157036"/>
    <n v="0.21052631578947367"/>
  </r>
  <r>
    <x v="318"/>
    <s v="2025-01-24"/>
    <x v="7"/>
    <s v="P039"/>
    <x v="9"/>
    <x v="4"/>
    <n v="10"/>
    <n v="181"/>
    <x v="2"/>
    <n v="1810"/>
    <x v="1"/>
    <x v="3"/>
    <n v="630"/>
    <n v="0.34806629834254144"/>
    <n v="0.17543859649122806"/>
  </r>
  <r>
    <x v="319"/>
    <s v="2025-01-24"/>
    <x v="2"/>
    <s v="P010"/>
    <x v="18"/>
    <x v="1"/>
    <n v="6"/>
    <n v="160"/>
    <x v="3"/>
    <n v="816"/>
    <x v="2"/>
    <x v="3"/>
    <n v="396"/>
    <n v="0.48529411764705882"/>
    <n v="0.10526315789473684"/>
  </r>
  <r>
    <x v="320"/>
    <s v="2025-03-26"/>
    <x v="10"/>
    <s v="P011"/>
    <x v="13"/>
    <x v="1"/>
    <n v="3"/>
    <n v="90"/>
    <x v="3"/>
    <n v="229.5"/>
    <x v="1"/>
    <x v="4"/>
    <n v="93"/>
    <n v="0.40522875816993464"/>
    <n v="5.2631578947368418E-2"/>
  </r>
  <r>
    <x v="321"/>
    <s v="2025-06-15"/>
    <x v="3"/>
    <s v="P036"/>
    <x v="6"/>
    <x v="0"/>
    <n v="8"/>
    <n v="139"/>
    <x v="3"/>
    <n v="945.2"/>
    <x v="3"/>
    <x v="0"/>
    <n v="560"/>
    <n v="0.59246720270842146"/>
    <n v="0.14035087719298245"/>
  </r>
  <r>
    <x v="322"/>
    <s v="2025-05-11"/>
    <x v="8"/>
    <s v="P024"/>
    <x v="39"/>
    <x v="1"/>
    <n v="8"/>
    <n v="144"/>
    <x v="1"/>
    <n v="1094.4000000000001"/>
    <x v="5"/>
    <x v="5"/>
    <n v="448"/>
    <n v="0.40935672514619881"/>
    <n v="0.14035087719298245"/>
  </r>
  <r>
    <x v="323"/>
    <s v="2025-02-23"/>
    <x v="1"/>
    <s v="P013"/>
    <x v="0"/>
    <x v="0"/>
    <n v="6"/>
    <n v="143"/>
    <x v="0"/>
    <n v="772.2"/>
    <x v="4"/>
    <x v="2"/>
    <n v="252"/>
    <n v="0.32634032634032634"/>
    <n v="0.10526315789473684"/>
  </r>
  <r>
    <x v="324"/>
    <s v="2025-05-05"/>
    <x v="1"/>
    <s v="P032"/>
    <x v="25"/>
    <x v="3"/>
    <n v="12"/>
    <n v="130"/>
    <x v="1"/>
    <n v="1482"/>
    <x v="3"/>
    <x v="5"/>
    <n v="540"/>
    <n v="0.36437246963562753"/>
    <n v="0.21052631578947367"/>
  </r>
  <r>
    <x v="325"/>
    <s v="2025-01-05"/>
    <x v="6"/>
    <s v="P029"/>
    <x v="34"/>
    <x v="2"/>
    <n v="14"/>
    <n v="100"/>
    <x v="2"/>
    <n v="1400"/>
    <x v="1"/>
    <x v="3"/>
    <n v="308"/>
    <n v="0.22"/>
    <n v="0.24561403508771928"/>
  </r>
  <r>
    <x v="326"/>
    <s v="2025-04-13"/>
    <x v="1"/>
    <s v="P002"/>
    <x v="4"/>
    <x v="3"/>
    <n v="1"/>
    <n v="146"/>
    <x v="1"/>
    <n v="138.69999999999999"/>
    <x v="0"/>
    <x v="1"/>
    <n v="50"/>
    <n v="0.36049026676279744"/>
    <n v="1.7543859649122806E-2"/>
  </r>
  <r>
    <x v="327"/>
    <s v="2025-04-30"/>
    <x v="4"/>
    <s v="P037"/>
    <x v="2"/>
    <x v="2"/>
    <n v="8"/>
    <n v="160"/>
    <x v="0"/>
    <n v="1152"/>
    <x v="0"/>
    <x v="1"/>
    <n v="440"/>
    <n v="0.38194444444444442"/>
    <n v="0.14035087719298245"/>
  </r>
  <r>
    <x v="328"/>
    <s v="2025-05-14"/>
    <x v="3"/>
    <s v="P004"/>
    <x v="22"/>
    <x v="1"/>
    <n v="8"/>
    <n v="99"/>
    <x v="2"/>
    <n v="792"/>
    <x v="5"/>
    <x v="5"/>
    <n v="192"/>
    <n v="0.24242424242424243"/>
    <n v="0.14035087719298245"/>
  </r>
  <r>
    <x v="329"/>
    <s v="2025-03-07"/>
    <x v="7"/>
    <s v="P018"/>
    <x v="14"/>
    <x v="2"/>
    <n v="13"/>
    <n v="156"/>
    <x v="1"/>
    <n v="1926.6"/>
    <x v="1"/>
    <x v="4"/>
    <n v="819"/>
    <n v="0.4251012145748988"/>
    <n v="0.22807017543859648"/>
  </r>
  <r>
    <x v="330"/>
    <s v="2025-02-06"/>
    <x v="1"/>
    <s v="P021"/>
    <x v="29"/>
    <x v="3"/>
    <n v="5"/>
    <n v="65"/>
    <x v="1"/>
    <n v="308.75"/>
    <x v="2"/>
    <x v="2"/>
    <n v="110"/>
    <n v="0.35627530364372467"/>
    <n v="8.771929824561403E-2"/>
  </r>
  <r>
    <x v="331"/>
    <s v="2025-04-27"/>
    <x v="8"/>
    <s v="P026"/>
    <x v="20"/>
    <x v="4"/>
    <n v="7"/>
    <n v="82"/>
    <x v="3"/>
    <n v="487.9"/>
    <x v="5"/>
    <x v="1"/>
    <n v="280"/>
    <n v="0.57388809182209477"/>
    <n v="0.12280701754385964"/>
  </r>
  <r>
    <x v="332"/>
    <s v="2025-01-29"/>
    <x v="11"/>
    <s v="P004"/>
    <x v="22"/>
    <x v="1"/>
    <n v="9"/>
    <n v="99"/>
    <x v="1"/>
    <n v="846.45"/>
    <x v="5"/>
    <x v="3"/>
    <n v="216"/>
    <n v="0.2551834130781499"/>
    <n v="0.15789473684210525"/>
  </r>
  <r>
    <x v="333"/>
    <s v="2025-06-02"/>
    <x v="10"/>
    <s v="P010"/>
    <x v="18"/>
    <x v="1"/>
    <n v="12"/>
    <n v="160"/>
    <x v="3"/>
    <n v="1632"/>
    <x v="3"/>
    <x v="0"/>
    <n v="792"/>
    <n v="0.48529411764705882"/>
    <n v="0.21052631578947367"/>
  </r>
  <r>
    <x v="334"/>
    <s v="2025-01-15"/>
    <x v="7"/>
    <s v="P003"/>
    <x v="10"/>
    <x v="1"/>
    <n v="3"/>
    <n v="86"/>
    <x v="1"/>
    <n v="245.1"/>
    <x v="2"/>
    <x v="3"/>
    <n v="60"/>
    <n v="0.24479804161566707"/>
    <n v="5.2631578947368418E-2"/>
  </r>
  <r>
    <x v="335"/>
    <s v="2025-06-19"/>
    <x v="3"/>
    <s v="P004"/>
    <x v="22"/>
    <x v="1"/>
    <n v="11"/>
    <n v="99"/>
    <x v="0"/>
    <n v="980.1"/>
    <x v="5"/>
    <x v="0"/>
    <n v="264"/>
    <n v="0.26936026936026936"/>
    <n v="0.19298245614035087"/>
  </r>
  <r>
    <x v="336"/>
    <s v="2025-01-30"/>
    <x v="9"/>
    <s v="P011"/>
    <x v="13"/>
    <x v="1"/>
    <n v="10"/>
    <n v="90"/>
    <x v="2"/>
    <n v="900"/>
    <x v="3"/>
    <x v="3"/>
    <n v="310"/>
    <n v="0.34444444444444444"/>
    <n v="0.17543859649122806"/>
  </r>
  <r>
    <x v="337"/>
    <s v="2025-04-18"/>
    <x v="4"/>
    <s v="P011"/>
    <x v="13"/>
    <x v="1"/>
    <n v="15"/>
    <n v="90"/>
    <x v="3"/>
    <n v="1147.5"/>
    <x v="2"/>
    <x v="1"/>
    <n v="465"/>
    <n v="0.40522875816993464"/>
    <n v="0.26315789473684209"/>
  </r>
  <r>
    <x v="338"/>
    <s v="2025-01-20"/>
    <x v="7"/>
    <s v="P028"/>
    <x v="35"/>
    <x v="1"/>
    <n v="12"/>
    <n v="109"/>
    <x v="3"/>
    <n v="1111.8"/>
    <x v="0"/>
    <x v="3"/>
    <n v="660"/>
    <n v="0.59363194819212095"/>
    <n v="0.21052631578947367"/>
  </r>
  <r>
    <x v="339"/>
    <s v="2025-03-26"/>
    <x v="2"/>
    <s v="P003"/>
    <x v="10"/>
    <x v="1"/>
    <n v="11"/>
    <n v="86"/>
    <x v="2"/>
    <n v="946"/>
    <x v="1"/>
    <x v="4"/>
    <n v="220"/>
    <n v="0.23255813953488372"/>
    <n v="0.19298245614035087"/>
  </r>
  <r>
    <x v="340"/>
    <s v="2025-05-01"/>
    <x v="5"/>
    <s v="P003"/>
    <x v="10"/>
    <x v="1"/>
    <n v="1"/>
    <n v="86"/>
    <x v="0"/>
    <n v="77.400000000000006"/>
    <x v="0"/>
    <x v="5"/>
    <n v="20"/>
    <n v="0.25839793281653745"/>
    <n v="1.7543859649122806E-2"/>
  </r>
  <r>
    <x v="341"/>
    <s v="2025-06-18"/>
    <x v="5"/>
    <s v="P014"/>
    <x v="36"/>
    <x v="2"/>
    <n v="6"/>
    <n v="96"/>
    <x v="0"/>
    <n v="518.4"/>
    <x v="5"/>
    <x v="0"/>
    <n v="456"/>
    <n v="0.87962962962962965"/>
    <n v="0.10526315789473684"/>
  </r>
  <r>
    <x v="342"/>
    <s v="2025-06-25"/>
    <x v="10"/>
    <s v="P019"/>
    <x v="1"/>
    <x v="1"/>
    <n v="12"/>
    <n v="95"/>
    <x v="0"/>
    <n v="1026"/>
    <x v="0"/>
    <x v="0"/>
    <n v="888"/>
    <n v="0.86549707602339176"/>
    <n v="0.21052631578947367"/>
  </r>
  <r>
    <x v="343"/>
    <s v="2025-04-06"/>
    <x v="8"/>
    <s v="P035"/>
    <x v="15"/>
    <x v="0"/>
    <n v="12"/>
    <n v="199"/>
    <x v="2"/>
    <n v="2388"/>
    <x v="5"/>
    <x v="1"/>
    <n v="1116"/>
    <n v="0.46733668341708545"/>
    <n v="0.21052631578947367"/>
  </r>
  <r>
    <x v="344"/>
    <s v="2025-01-05"/>
    <x v="8"/>
    <s v="P039"/>
    <x v="9"/>
    <x v="4"/>
    <n v="9"/>
    <n v="181"/>
    <x v="0"/>
    <n v="1466.1"/>
    <x v="4"/>
    <x v="3"/>
    <n v="567"/>
    <n v="0.38674033149171272"/>
    <n v="0.15789473684210525"/>
  </r>
  <r>
    <x v="345"/>
    <s v="2025-02-12"/>
    <x v="1"/>
    <s v="P029"/>
    <x v="34"/>
    <x v="2"/>
    <n v="13"/>
    <n v="100"/>
    <x v="1"/>
    <n v="1235"/>
    <x v="0"/>
    <x v="2"/>
    <n v="286"/>
    <n v="0.23157894736842105"/>
    <n v="0.22807017543859648"/>
  </r>
  <r>
    <x v="346"/>
    <s v="2025-01-04"/>
    <x v="3"/>
    <s v="P032"/>
    <x v="25"/>
    <x v="3"/>
    <n v="5"/>
    <n v="130"/>
    <x v="3"/>
    <n v="552.5"/>
    <x v="0"/>
    <x v="3"/>
    <n v="225"/>
    <n v="0.40723981900452488"/>
    <n v="8.771929824561403E-2"/>
  </r>
  <r>
    <x v="347"/>
    <s v="2025-04-16"/>
    <x v="2"/>
    <s v="P021"/>
    <x v="29"/>
    <x v="3"/>
    <n v="12"/>
    <n v="65"/>
    <x v="1"/>
    <n v="741"/>
    <x v="2"/>
    <x v="1"/>
    <n v="264"/>
    <n v="0.35627530364372467"/>
    <n v="0.21052631578947367"/>
  </r>
  <r>
    <x v="348"/>
    <s v="2025-01-20"/>
    <x v="1"/>
    <s v="P032"/>
    <x v="25"/>
    <x v="3"/>
    <n v="4"/>
    <n v="130"/>
    <x v="1"/>
    <n v="494"/>
    <x v="5"/>
    <x v="3"/>
    <n v="180"/>
    <n v="0.36437246963562753"/>
    <n v="7.0175438596491224E-2"/>
  </r>
  <r>
    <x v="349"/>
    <s v="2025-03-20"/>
    <x v="5"/>
    <s v="P021"/>
    <x v="29"/>
    <x v="3"/>
    <n v="7"/>
    <n v="65"/>
    <x v="1"/>
    <n v="432.25"/>
    <x v="0"/>
    <x v="4"/>
    <n v="154"/>
    <n v="0.35627530364372467"/>
    <n v="0.12280701754385964"/>
  </r>
  <r>
    <x v="350"/>
    <s v="2025-06-17"/>
    <x v="9"/>
    <s v="P014"/>
    <x v="36"/>
    <x v="2"/>
    <n v="1"/>
    <n v="96"/>
    <x v="3"/>
    <n v="81.599999999999994"/>
    <x v="1"/>
    <x v="0"/>
    <n v="76"/>
    <n v="0.93137254901960786"/>
    <n v="1.7543859649122806E-2"/>
  </r>
  <r>
    <x v="351"/>
    <s v="2025-03-22"/>
    <x v="11"/>
    <s v="P012"/>
    <x v="17"/>
    <x v="0"/>
    <n v="14"/>
    <n v="98"/>
    <x v="3"/>
    <n v="1166.2"/>
    <x v="3"/>
    <x v="4"/>
    <n v="308"/>
    <n v="0.26410564225690275"/>
    <n v="0.24561403508771928"/>
  </r>
  <r>
    <x v="352"/>
    <s v="2025-06-06"/>
    <x v="5"/>
    <s v="P027"/>
    <x v="27"/>
    <x v="1"/>
    <n v="5"/>
    <n v="135"/>
    <x v="0"/>
    <n v="607.5"/>
    <x v="1"/>
    <x v="0"/>
    <n v="215"/>
    <n v="0.35390946502057613"/>
    <n v="8.771929824561403E-2"/>
  </r>
  <r>
    <x v="353"/>
    <s v="2025-01-15"/>
    <x v="8"/>
    <s v="P028"/>
    <x v="35"/>
    <x v="1"/>
    <n v="3"/>
    <n v="109"/>
    <x v="2"/>
    <n v="327"/>
    <x v="5"/>
    <x v="3"/>
    <n v="165"/>
    <n v="0.50458715596330272"/>
    <n v="5.2631578947368418E-2"/>
  </r>
  <r>
    <x v="354"/>
    <s v="2025-01-20"/>
    <x v="3"/>
    <s v="P004"/>
    <x v="22"/>
    <x v="1"/>
    <n v="3"/>
    <n v="99"/>
    <x v="1"/>
    <n v="282.14999999999998"/>
    <x v="0"/>
    <x v="3"/>
    <n v="72"/>
    <n v="0.25518341307814996"/>
    <n v="5.2631578947368418E-2"/>
  </r>
  <r>
    <x v="355"/>
    <s v="2025-06-06"/>
    <x v="1"/>
    <s v="P013"/>
    <x v="0"/>
    <x v="0"/>
    <n v="12"/>
    <n v="143"/>
    <x v="3"/>
    <n v="1458.6"/>
    <x v="2"/>
    <x v="0"/>
    <n v="504"/>
    <n v="0.34553681612505144"/>
    <n v="0.21052631578947367"/>
  </r>
  <r>
    <x v="356"/>
    <s v="2025-01-26"/>
    <x v="3"/>
    <s v="P034"/>
    <x v="5"/>
    <x v="0"/>
    <n v="11"/>
    <n v="154"/>
    <x v="1"/>
    <n v="1609.3"/>
    <x v="2"/>
    <x v="3"/>
    <n v="638"/>
    <n v="0.39644565960355438"/>
    <n v="0.19298245614035087"/>
  </r>
  <r>
    <x v="357"/>
    <s v="2025-06-14"/>
    <x v="10"/>
    <s v="P020"/>
    <x v="38"/>
    <x v="2"/>
    <n v="7"/>
    <n v="61"/>
    <x v="1"/>
    <n v="405.65"/>
    <x v="1"/>
    <x v="0"/>
    <n v="357"/>
    <n v="0.88006902502157036"/>
    <n v="0.12280701754385964"/>
  </r>
  <r>
    <x v="358"/>
    <s v="2025-03-23"/>
    <x v="8"/>
    <s v="P007"/>
    <x v="16"/>
    <x v="3"/>
    <n v="15"/>
    <n v="128"/>
    <x v="1"/>
    <n v="1824"/>
    <x v="2"/>
    <x v="4"/>
    <n v="795"/>
    <n v="0.43585526315789475"/>
    <n v="0.26315789473684209"/>
  </r>
  <r>
    <x v="359"/>
    <s v="2025-03-21"/>
    <x v="11"/>
    <s v="P013"/>
    <x v="0"/>
    <x v="0"/>
    <n v="10"/>
    <n v="143"/>
    <x v="1"/>
    <n v="1358.5"/>
    <x v="0"/>
    <x v="4"/>
    <n v="420"/>
    <n v="0.30916451969083547"/>
    <n v="0.17543859649122806"/>
  </r>
  <r>
    <x v="360"/>
    <s v="2025-04-13"/>
    <x v="9"/>
    <s v="P019"/>
    <x v="1"/>
    <x v="1"/>
    <n v="10"/>
    <n v="95"/>
    <x v="3"/>
    <n v="807.5"/>
    <x v="1"/>
    <x v="1"/>
    <n v="740"/>
    <n v="0.91640866873065019"/>
    <n v="0.17543859649122806"/>
  </r>
  <r>
    <x v="361"/>
    <s v="2025-04-11"/>
    <x v="6"/>
    <s v="P040"/>
    <x v="12"/>
    <x v="4"/>
    <n v="7"/>
    <n v="145"/>
    <x v="3"/>
    <n v="862.75"/>
    <x v="4"/>
    <x v="1"/>
    <n v="574"/>
    <n v="0.66531440162271804"/>
    <n v="0.12280701754385964"/>
  </r>
  <r>
    <x v="362"/>
    <s v="2025-01-30"/>
    <x v="7"/>
    <s v="P032"/>
    <x v="25"/>
    <x v="3"/>
    <n v="4"/>
    <n v="130"/>
    <x v="0"/>
    <n v="468"/>
    <x v="1"/>
    <x v="3"/>
    <n v="180"/>
    <n v="0.38461538461538464"/>
    <n v="7.0175438596491224E-2"/>
  </r>
  <r>
    <x v="363"/>
    <s v="2025-04-11"/>
    <x v="10"/>
    <s v="P031"/>
    <x v="33"/>
    <x v="0"/>
    <n v="12"/>
    <n v="119"/>
    <x v="0"/>
    <n v="1285.2"/>
    <x v="4"/>
    <x v="1"/>
    <n v="564"/>
    <n v="0.4388422035480859"/>
    <n v="0.21052631578947367"/>
  </r>
  <r>
    <x v="364"/>
    <s v="2025-01-27"/>
    <x v="8"/>
    <s v="P019"/>
    <x v="1"/>
    <x v="1"/>
    <n v="2"/>
    <n v="95"/>
    <x v="2"/>
    <n v="190"/>
    <x v="1"/>
    <x v="3"/>
    <n v="148"/>
    <n v="0.77894736842105261"/>
    <n v="3.5087719298245612E-2"/>
  </r>
  <r>
    <x v="365"/>
    <s v="2025-04-26"/>
    <x v="2"/>
    <s v="P025"/>
    <x v="19"/>
    <x v="4"/>
    <n v="6"/>
    <n v="168"/>
    <x v="1"/>
    <n v="957.6"/>
    <x v="4"/>
    <x v="1"/>
    <n v="330"/>
    <n v="0.34461152882205515"/>
    <n v="0.10526315789473684"/>
  </r>
  <r>
    <x v="366"/>
    <s v="2025-04-23"/>
    <x v="6"/>
    <s v="P028"/>
    <x v="35"/>
    <x v="1"/>
    <n v="9"/>
    <n v="109"/>
    <x v="2"/>
    <n v="981"/>
    <x v="1"/>
    <x v="1"/>
    <n v="495"/>
    <n v="0.50458715596330272"/>
    <n v="0.15789473684210525"/>
  </r>
  <r>
    <x v="367"/>
    <s v="2025-02-22"/>
    <x v="5"/>
    <s v="P014"/>
    <x v="36"/>
    <x v="2"/>
    <n v="10"/>
    <n v="96"/>
    <x v="2"/>
    <n v="960"/>
    <x v="0"/>
    <x v="2"/>
    <n v="760"/>
    <n v="0.79166666666666663"/>
    <n v="0.17543859649122806"/>
  </r>
  <r>
    <x v="368"/>
    <s v="2025-03-21"/>
    <x v="7"/>
    <s v="P039"/>
    <x v="9"/>
    <x v="4"/>
    <n v="13"/>
    <n v="181"/>
    <x v="1"/>
    <n v="2235.35"/>
    <x v="2"/>
    <x v="4"/>
    <n v="819"/>
    <n v="0.36638557720267523"/>
    <n v="0.22807017543859648"/>
  </r>
  <r>
    <x v="369"/>
    <s v="2025-01-18"/>
    <x v="1"/>
    <s v="P020"/>
    <x v="38"/>
    <x v="2"/>
    <n v="1"/>
    <n v="61"/>
    <x v="3"/>
    <n v="51.85"/>
    <x v="1"/>
    <x v="3"/>
    <n v="51"/>
    <n v="0.98360655737704916"/>
    <n v="1.7543859649122806E-2"/>
  </r>
  <r>
    <x v="370"/>
    <s v="2025-03-14"/>
    <x v="1"/>
    <s v="P025"/>
    <x v="19"/>
    <x v="4"/>
    <n v="15"/>
    <n v="168"/>
    <x v="2"/>
    <n v="2520"/>
    <x v="4"/>
    <x v="4"/>
    <n v="825"/>
    <n v="0.32738095238095238"/>
    <n v="0.26315789473684209"/>
  </r>
  <r>
    <x v="371"/>
    <s v="2025-06-30"/>
    <x v="9"/>
    <s v="P006"/>
    <x v="26"/>
    <x v="4"/>
    <n v="9"/>
    <n v="140"/>
    <x v="3"/>
    <n v="1071"/>
    <x v="0"/>
    <x v="0"/>
    <n v="882"/>
    <n v="0.82352941176470584"/>
    <n v="0.15789473684210525"/>
  </r>
  <r>
    <x v="372"/>
    <s v="2025-06-11"/>
    <x v="10"/>
    <s v="P002"/>
    <x v="4"/>
    <x v="3"/>
    <n v="9"/>
    <n v="146"/>
    <x v="2"/>
    <n v="1314"/>
    <x v="5"/>
    <x v="0"/>
    <n v="450"/>
    <n v="0.34246575342465752"/>
    <n v="0.15789473684210525"/>
  </r>
  <r>
    <x v="373"/>
    <s v="2025-04-25"/>
    <x v="6"/>
    <s v="P018"/>
    <x v="14"/>
    <x v="2"/>
    <n v="13"/>
    <n v="156"/>
    <x v="3"/>
    <n v="1723.8"/>
    <x v="3"/>
    <x v="1"/>
    <n v="819"/>
    <n v="0.47511312217194573"/>
    <n v="0.22807017543859648"/>
  </r>
  <r>
    <x v="374"/>
    <s v="2025-05-19"/>
    <x v="8"/>
    <s v="P022"/>
    <x v="7"/>
    <x v="4"/>
    <n v="10"/>
    <n v="147"/>
    <x v="2"/>
    <n v="1470"/>
    <x v="3"/>
    <x v="5"/>
    <n v="860"/>
    <n v="0.58503401360544216"/>
    <n v="0.17543859649122806"/>
  </r>
  <r>
    <x v="375"/>
    <s v="2025-06-05"/>
    <x v="2"/>
    <s v="P013"/>
    <x v="0"/>
    <x v="0"/>
    <n v="4"/>
    <n v="143"/>
    <x v="2"/>
    <n v="572"/>
    <x v="3"/>
    <x v="0"/>
    <n v="168"/>
    <n v="0.2937062937062937"/>
    <n v="7.0175438596491224E-2"/>
  </r>
  <r>
    <x v="376"/>
    <s v="2025-04-16"/>
    <x v="5"/>
    <s v="P035"/>
    <x v="15"/>
    <x v="0"/>
    <n v="11"/>
    <n v="199"/>
    <x v="1"/>
    <n v="2079.5500000000002"/>
    <x v="4"/>
    <x v="1"/>
    <n v="1023"/>
    <n v="0.49193335096535301"/>
    <n v="0.19298245614035087"/>
  </r>
  <r>
    <x v="377"/>
    <s v="2025-01-01"/>
    <x v="2"/>
    <s v="P011"/>
    <x v="13"/>
    <x v="1"/>
    <n v="12"/>
    <n v="90"/>
    <x v="2"/>
    <n v="1080"/>
    <x v="2"/>
    <x v="3"/>
    <n v="372"/>
    <n v="0.34444444444444444"/>
    <n v="0.21052631578947367"/>
  </r>
  <r>
    <x v="378"/>
    <s v="2025-01-08"/>
    <x v="4"/>
    <s v="P032"/>
    <x v="25"/>
    <x v="3"/>
    <n v="8"/>
    <n v="130"/>
    <x v="1"/>
    <n v="988"/>
    <x v="0"/>
    <x v="3"/>
    <n v="360"/>
    <n v="0.36437246963562753"/>
    <n v="0.14035087719298245"/>
  </r>
  <r>
    <x v="379"/>
    <s v="2025-01-10"/>
    <x v="8"/>
    <s v="P014"/>
    <x v="36"/>
    <x v="2"/>
    <n v="15"/>
    <n v="96"/>
    <x v="2"/>
    <n v="1440"/>
    <x v="1"/>
    <x v="3"/>
    <n v="1140"/>
    <n v="0.79166666666666663"/>
    <n v="0.26315789473684209"/>
  </r>
  <r>
    <x v="380"/>
    <s v="2025-03-19"/>
    <x v="9"/>
    <s v="P010"/>
    <x v="18"/>
    <x v="1"/>
    <n v="14"/>
    <n v="160"/>
    <x v="2"/>
    <n v="2240"/>
    <x v="3"/>
    <x v="4"/>
    <n v="924"/>
    <n v="0.41249999999999998"/>
    <n v="0.24561403508771928"/>
  </r>
  <r>
    <x v="381"/>
    <s v="2025-04-14"/>
    <x v="0"/>
    <s v="P027"/>
    <x v="27"/>
    <x v="1"/>
    <n v="5"/>
    <n v="135"/>
    <x v="0"/>
    <n v="607.5"/>
    <x v="0"/>
    <x v="1"/>
    <n v="215"/>
    <n v="0.35390946502057613"/>
    <n v="8.771929824561403E-2"/>
  </r>
  <r>
    <x v="382"/>
    <s v="2025-06-28"/>
    <x v="9"/>
    <s v="P035"/>
    <x v="15"/>
    <x v="0"/>
    <n v="4"/>
    <n v="199"/>
    <x v="3"/>
    <n v="676.6"/>
    <x v="2"/>
    <x v="0"/>
    <n v="372"/>
    <n v="0.54980786284362992"/>
    <n v="7.0175438596491224E-2"/>
  </r>
  <r>
    <x v="383"/>
    <s v="2025-06-14"/>
    <x v="10"/>
    <s v="P026"/>
    <x v="20"/>
    <x v="4"/>
    <n v="14"/>
    <n v="82"/>
    <x v="1"/>
    <n v="1090.5999999999999"/>
    <x v="5"/>
    <x v="0"/>
    <n v="560"/>
    <n v="0.51347881899871639"/>
    <n v="0.24561403508771928"/>
  </r>
  <r>
    <x v="384"/>
    <s v="2025-04-08"/>
    <x v="7"/>
    <s v="P029"/>
    <x v="34"/>
    <x v="2"/>
    <n v="13"/>
    <n v="100"/>
    <x v="0"/>
    <n v="1170"/>
    <x v="3"/>
    <x v="1"/>
    <n v="286"/>
    <n v="0.24444444444444444"/>
    <n v="0.22807017543859648"/>
  </r>
  <r>
    <x v="385"/>
    <s v="2025-02-08"/>
    <x v="1"/>
    <s v="P030"/>
    <x v="32"/>
    <x v="0"/>
    <n v="8"/>
    <n v="135"/>
    <x v="0"/>
    <n v="972"/>
    <x v="5"/>
    <x v="2"/>
    <n v="640"/>
    <n v="0.65843621399176955"/>
    <n v="0.14035087719298245"/>
  </r>
  <r>
    <x v="386"/>
    <s v="2025-03-13"/>
    <x v="1"/>
    <s v="P036"/>
    <x v="6"/>
    <x v="0"/>
    <n v="3"/>
    <n v="139"/>
    <x v="1"/>
    <n v="396.15"/>
    <x v="3"/>
    <x v="4"/>
    <n v="210"/>
    <n v="0.53010223400227185"/>
    <n v="5.2631578947368418E-2"/>
  </r>
  <r>
    <x v="387"/>
    <s v="2025-03-06"/>
    <x v="3"/>
    <s v="P016"/>
    <x v="8"/>
    <x v="0"/>
    <n v="3"/>
    <n v="89"/>
    <x v="0"/>
    <n v="240.3"/>
    <x v="1"/>
    <x v="4"/>
    <n v="195"/>
    <n v="0.81148564294631709"/>
    <n v="5.2631578947368418E-2"/>
  </r>
  <r>
    <x v="388"/>
    <s v="2025-01-20"/>
    <x v="0"/>
    <s v="P020"/>
    <x v="38"/>
    <x v="2"/>
    <n v="4"/>
    <n v="61"/>
    <x v="3"/>
    <n v="207.4"/>
    <x v="5"/>
    <x v="3"/>
    <n v="204"/>
    <n v="0.98360655737704916"/>
    <n v="7.0175438596491224E-2"/>
  </r>
  <r>
    <x v="389"/>
    <s v="2025-06-09"/>
    <x v="7"/>
    <s v="P026"/>
    <x v="20"/>
    <x v="4"/>
    <n v="7"/>
    <n v="82"/>
    <x v="3"/>
    <n v="487.9"/>
    <x v="4"/>
    <x v="0"/>
    <n v="280"/>
    <n v="0.57388809182209477"/>
    <n v="0.12280701754385964"/>
  </r>
  <r>
    <x v="390"/>
    <s v="2025-06-22"/>
    <x v="2"/>
    <s v="P014"/>
    <x v="36"/>
    <x v="2"/>
    <n v="14"/>
    <n v="96"/>
    <x v="1"/>
    <n v="1276.8"/>
    <x v="2"/>
    <x v="0"/>
    <n v="1064"/>
    <n v="0.83333333333333337"/>
    <n v="0.24561403508771928"/>
  </r>
  <r>
    <x v="391"/>
    <s v="2025-03-14"/>
    <x v="7"/>
    <s v="P027"/>
    <x v="27"/>
    <x v="1"/>
    <n v="13"/>
    <n v="135"/>
    <x v="1"/>
    <n v="1667.25"/>
    <x v="1"/>
    <x v="4"/>
    <n v="559"/>
    <n v="0.33528265107212474"/>
    <n v="0.22807017543859648"/>
  </r>
  <r>
    <x v="392"/>
    <s v="2025-01-20"/>
    <x v="1"/>
    <s v="P040"/>
    <x v="12"/>
    <x v="4"/>
    <n v="12"/>
    <n v="145"/>
    <x v="3"/>
    <n v="1479"/>
    <x v="3"/>
    <x v="3"/>
    <n v="984"/>
    <n v="0.66531440162271804"/>
    <n v="0.21052631578947367"/>
  </r>
  <r>
    <x v="393"/>
    <s v="2025-04-10"/>
    <x v="3"/>
    <s v="P038"/>
    <x v="37"/>
    <x v="3"/>
    <n v="2"/>
    <n v="113"/>
    <x v="1"/>
    <n v="214.7"/>
    <x v="4"/>
    <x v="1"/>
    <n v="100"/>
    <n v="0.4657661853749418"/>
    <n v="3.5087719298245612E-2"/>
  </r>
  <r>
    <x v="394"/>
    <s v="2025-05-30"/>
    <x v="1"/>
    <s v="P021"/>
    <x v="29"/>
    <x v="3"/>
    <n v="8"/>
    <n v="65"/>
    <x v="3"/>
    <n v="442"/>
    <x v="1"/>
    <x v="5"/>
    <n v="176"/>
    <n v="0.39819004524886875"/>
    <n v="0.14035087719298245"/>
  </r>
  <r>
    <x v="395"/>
    <s v="2025-05-08"/>
    <x v="2"/>
    <s v="P012"/>
    <x v="17"/>
    <x v="0"/>
    <n v="1"/>
    <n v="98"/>
    <x v="3"/>
    <n v="83.3"/>
    <x v="3"/>
    <x v="5"/>
    <n v="22"/>
    <n v="0.26410564225690275"/>
    <n v="1.7543859649122806E-2"/>
  </r>
  <r>
    <x v="396"/>
    <s v="2025-04-06"/>
    <x v="11"/>
    <s v="P031"/>
    <x v="33"/>
    <x v="0"/>
    <n v="13"/>
    <n v="119"/>
    <x v="1"/>
    <n v="1469.65"/>
    <x v="3"/>
    <x v="1"/>
    <n v="611"/>
    <n v="0.41574524546660768"/>
    <n v="0.22807017543859648"/>
  </r>
  <r>
    <x v="397"/>
    <s v="2025-05-24"/>
    <x v="0"/>
    <s v="P024"/>
    <x v="39"/>
    <x v="1"/>
    <n v="8"/>
    <n v="144"/>
    <x v="0"/>
    <n v="1036.8"/>
    <x v="2"/>
    <x v="5"/>
    <n v="448"/>
    <n v="0.4320987654320988"/>
    <n v="0.14035087719298245"/>
  </r>
  <r>
    <x v="398"/>
    <s v="2025-05-02"/>
    <x v="6"/>
    <s v="P003"/>
    <x v="10"/>
    <x v="1"/>
    <n v="12"/>
    <n v="86"/>
    <x v="0"/>
    <n v="928.8"/>
    <x v="5"/>
    <x v="5"/>
    <n v="240"/>
    <n v="0.2583979328165375"/>
    <n v="0.21052631578947367"/>
  </r>
  <r>
    <x v="399"/>
    <s v="2025-02-22"/>
    <x v="9"/>
    <s v="P026"/>
    <x v="20"/>
    <x v="4"/>
    <n v="7"/>
    <n v="82"/>
    <x v="2"/>
    <n v="574"/>
    <x v="4"/>
    <x v="2"/>
    <n v="280"/>
    <n v="0.48780487804878048"/>
    <n v="0.12280701754385964"/>
  </r>
  <r>
    <x v="400"/>
    <s v="2025-02-24"/>
    <x v="5"/>
    <s v="P027"/>
    <x v="27"/>
    <x v="1"/>
    <n v="8"/>
    <n v="135"/>
    <x v="2"/>
    <n v="1080"/>
    <x v="1"/>
    <x v="2"/>
    <n v="344"/>
    <n v="0.31851851851851853"/>
    <n v="0.14035087719298245"/>
  </r>
  <r>
    <x v="401"/>
    <s v="2025-05-11"/>
    <x v="2"/>
    <s v="P016"/>
    <x v="8"/>
    <x v="0"/>
    <n v="4"/>
    <n v="89"/>
    <x v="1"/>
    <n v="338.2"/>
    <x v="1"/>
    <x v="5"/>
    <n v="260"/>
    <n v="0.76877587226493205"/>
    <n v="7.0175438596491224E-2"/>
  </r>
  <r>
    <x v="402"/>
    <s v="2025-04-13"/>
    <x v="3"/>
    <s v="P013"/>
    <x v="0"/>
    <x v="0"/>
    <n v="12"/>
    <n v="143"/>
    <x v="3"/>
    <n v="1458.6"/>
    <x v="4"/>
    <x v="1"/>
    <n v="504"/>
    <n v="0.34553681612505144"/>
    <n v="0.21052631578947367"/>
  </r>
  <r>
    <x v="403"/>
    <s v="2025-02-07"/>
    <x v="8"/>
    <s v="P031"/>
    <x v="33"/>
    <x v="0"/>
    <n v="10"/>
    <n v="119"/>
    <x v="2"/>
    <n v="1190"/>
    <x v="1"/>
    <x v="2"/>
    <n v="470"/>
    <n v="0.3949579831932773"/>
    <n v="0.17543859649122806"/>
  </r>
  <r>
    <x v="404"/>
    <s v="2025-01-21"/>
    <x v="1"/>
    <s v="P023"/>
    <x v="30"/>
    <x v="2"/>
    <n v="5"/>
    <n v="37"/>
    <x v="3"/>
    <n v="157.25"/>
    <x v="3"/>
    <x v="3"/>
    <n v="130"/>
    <n v="0.82670906200317962"/>
    <n v="8.771929824561403E-2"/>
  </r>
  <r>
    <x v="405"/>
    <s v="2025-05-12"/>
    <x v="5"/>
    <s v="P026"/>
    <x v="20"/>
    <x v="4"/>
    <n v="6"/>
    <n v="82"/>
    <x v="2"/>
    <n v="492"/>
    <x v="1"/>
    <x v="5"/>
    <n v="240"/>
    <n v="0.48780487804878048"/>
    <n v="0.10526315789473684"/>
  </r>
  <r>
    <x v="406"/>
    <s v="2025-04-17"/>
    <x v="9"/>
    <s v="P023"/>
    <x v="30"/>
    <x v="2"/>
    <n v="14"/>
    <n v="37"/>
    <x v="1"/>
    <n v="492.1"/>
    <x v="2"/>
    <x v="1"/>
    <n v="364"/>
    <n v="0.73968705547652913"/>
    <n v="0.24561403508771928"/>
  </r>
  <r>
    <x v="407"/>
    <s v="2025-03-28"/>
    <x v="7"/>
    <s v="P022"/>
    <x v="7"/>
    <x v="4"/>
    <n v="5"/>
    <n v="147"/>
    <x v="3"/>
    <n v="624.75"/>
    <x v="0"/>
    <x v="4"/>
    <n v="430"/>
    <n v="0.68827531012404963"/>
    <n v="8.771929824561403E-2"/>
  </r>
  <r>
    <x v="408"/>
    <s v="2025-03-26"/>
    <x v="7"/>
    <s v="P023"/>
    <x v="30"/>
    <x v="2"/>
    <n v="9"/>
    <n v="37"/>
    <x v="3"/>
    <n v="283.05"/>
    <x v="5"/>
    <x v="4"/>
    <n v="234"/>
    <n v="0.82670906200317962"/>
    <n v="0.15789473684210525"/>
  </r>
  <r>
    <x v="409"/>
    <s v="2025-03-15"/>
    <x v="11"/>
    <s v="P013"/>
    <x v="0"/>
    <x v="0"/>
    <n v="3"/>
    <n v="143"/>
    <x v="3"/>
    <n v="364.65"/>
    <x v="3"/>
    <x v="4"/>
    <n v="126"/>
    <n v="0.34553681612505144"/>
    <n v="5.2631578947368418E-2"/>
  </r>
  <r>
    <x v="410"/>
    <s v="2025-04-05"/>
    <x v="1"/>
    <s v="P016"/>
    <x v="8"/>
    <x v="0"/>
    <n v="4"/>
    <n v="89"/>
    <x v="3"/>
    <n v="302.60000000000002"/>
    <x v="2"/>
    <x v="1"/>
    <n v="260"/>
    <n v="0.85922009253139453"/>
    <n v="7.0175438596491224E-2"/>
  </r>
  <r>
    <x v="411"/>
    <s v="2025-05-21"/>
    <x v="5"/>
    <s v="P012"/>
    <x v="17"/>
    <x v="0"/>
    <n v="15"/>
    <n v="98"/>
    <x v="3"/>
    <n v="1249.5"/>
    <x v="1"/>
    <x v="5"/>
    <n v="330"/>
    <n v="0.26410564225690275"/>
    <n v="0.26315789473684209"/>
  </r>
  <r>
    <x v="412"/>
    <s v="2025-04-08"/>
    <x v="4"/>
    <s v="P026"/>
    <x v="20"/>
    <x v="4"/>
    <n v="9"/>
    <n v="82"/>
    <x v="1"/>
    <n v="701.1"/>
    <x v="1"/>
    <x v="1"/>
    <n v="360"/>
    <n v="0.51347881899871628"/>
    <n v="0.15789473684210525"/>
  </r>
  <r>
    <x v="413"/>
    <s v="2025-06-07"/>
    <x v="11"/>
    <s v="P001"/>
    <x v="21"/>
    <x v="2"/>
    <n v="3"/>
    <n v="74"/>
    <x v="1"/>
    <n v="210.9"/>
    <x v="1"/>
    <x v="0"/>
    <n v="84"/>
    <n v="0.39829302987197723"/>
    <n v="5.2631578947368418E-2"/>
  </r>
  <r>
    <x v="414"/>
    <s v="2025-06-23"/>
    <x v="8"/>
    <s v="P018"/>
    <x v="14"/>
    <x v="2"/>
    <n v="8"/>
    <n v="156"/>
    <x v="3"/>
    <n v="1060.8"/>
    <x v="1"/>
    <x v="0"/>
    <n v="504"/>
    <n v="0.47511312217194573"/>
    <n v="0.14035087719298245"/>
  </r>
  <r>
    <x v="415"/>
    <s v="2025-05-18"/>
    <x v="3"/>
    <s v="P019"/>
    <x v="1"/>
    <x v="1"/>
    <n v="14"/>
    <n v="95"/>
    <x v="2"/>
    <n v="1330"/>
    <x v="0"/>
    <x v="5"/>
    <n v="1036"/>
    <n v="0.77894736842105261"/>
    <n v="0.24561403508771928"/>
  </r>
  <r>
    <x v="416"/>
    <s v="2025-01-22"/>
    <x v="2"/>
    <s v="P001"/>
    <x v="21"/>
    <x v="2"/>
    <n v="13"/>
    <n v="74"/>
    <x v="2"/>
    <n v="962"/>
    <x v="3"/>
    <x v="3"/>
    <n v="364"/>
    <n v="0.3783783783783784"/>
    <n v="0.22807017543859648"/>
  </r>
  <r>
    <x v="417"/>
    <s v="2025-06-13"/>
    <x v="10"/>
    <s v="P004"/>
    <x v="22"/>
    <x v="1"/>
    <n v="4"/>
    <n v="99"/>
    <x v="0"/>
    <n v="356.4"/>
    <x v="4"/>
    <x v="0"/>
    <n v="96"/>
    <n v="0.26936026936026936"/>
    <n v="7.0175438596491224E-2"/>
  </r>
  <r>
    <x v="418"/>
    <s v="2025-01-10"/>
    <x v="10"/>
    <s v="P003"/>
    <x v="10"/>
    <x v="1"/>
    <n v="10"/>
    <n v="86"/>
    <x v="1"/>
    <n v="817"/>
    <x v="4"/>
    <x v="3"/>
    <n v="200"/>
    <n v="0.24479804161566707"/>
    <n v="0.17543859649122806"/>
  </r>
  <r>
    <x v="419"/>
    <s v="2025-06-18"/>
    <x v="9"/>
    <s v="P007"/>
    <x v="16"/>
    <x v="3"/>
    <n v="1"/>
    <n v="128"/>
    <x v="1"/>
    <n v="121.6"/>
    <x v="0"/>
    <x v="0"/>
    <n v="53"/>
    <n v="0.43585526315789475"/>
    <n v="1.7543859649122806E-2"/>
  </r>
  <r>
    <x v="420"/>
    <s v="2025-05-11"/>
    <x v="3"/>
    <s v="P036"/>
    <x v="6"/>
    <x v="0"/>
    <n v="9"/>
    <n v="139"/>
    <x v="1"/>
    <n v="1188.45"/>
    <x v="4"/>
    <x v="5"/>
    <n v="630"/>
    <n v="0.53010223400227185"/>
    <n v="0.15789473684210525"/>
  </r>
  <r>
    <x v="421"/>
    <s v="2025-01-11"/>
    <x v="6"/>
    <s v="P008"/>
    <x v="23"/>
    <x v="3"/>
    <n v="6"/>
    <n v="76"/>
    <x v="2"/>
    <n v="456"/>
    <x v="1"/>
    <x v="3"/>
    <n v="180"/>
    <n v="0.39473684210526316"/>
    <n v="0.10526315789473684"/>
  </r>
  <r>
    <x v="422"/>
    <s v="2025-05-18"/>
    <x v="0"/>
    <s v="P038"/>
    <x v="37"/>
    <x v="3"/>
    <n v="14"/>
    <n v="113"/>
    <x v="0"/>
    <n v="1423.8"/>
    <x v="1"/>
    <x v="5"/>
    <n v="700"/>
    <n v="0.49164208456243857"/>
    <n v="0.24561403508771928"/>
  </r>
  <r>
    <x v="423"/>
    <s v="2025-04-20"/>
    <x v="7"/>
    <s v="P025"/>
    <x v="19"/>
    <x v="4"/>
    <n v="8"/>
    <n v="168"/>
    <x v="2"/>
    <n v="1344"/>
    <x v="0"/>
    <x v="1"/>
    <n v="440"/>
    <n v="0.32738095238095238"/>
    <n v="0.14035087719298245"/>
  </r>
  <r>
    <x v="424"/>
    <s v="2025-06-22"/>
    <x v="11"/>
    <s v="P028"/>
    <x v="35"/>
    <x v="1"/>
    <n v="6"/>
    <n v="109"/>
    <x v="3"/>
    <n v="555.9"/>
    <x v="5"/>
    <x v="0"/>
    <n v="330"/>
    <n v="0.59363194819212095"/>
    <n v="0.10526315789473684"/>
  </r>
  <r>
    <x v="425"/>
    <s v="2025-02-22"/>
    <x v="11"/>
    <s v="P034"/>
    <x v="5"/>
    <x v="0"/>
    <n v="3"/>
    <n v="154"/>
    <x v="0"/>
    <n v="415.8"/>
    <x v="0"/>
    <x v="2"/>
    <n v="174"/>
    <n v="0.41847041847041844"/>
    <n v="5.2631578947368418E-2"/>
  </r>
  <r>
    <x v="426"/>
    <s v="2025-01-29"/>
    <x v="6"/>
    <s v="P012"/>
    <x v="17"/>
    <x v="0"/>
    <n v="6"/>
    <n v="98"/>
    <x v="2"/>
    <n v="588"/>
    <x v="3"/>
    <x v="3"/>
    <n v="132"/>
    <n v="0.22448979591836735"/>
    <n v="0.10526315789473684"/>
  </r>
  <r>
    <x v="427"/>
    <s v="2025-01-08"/>
    <x v="3"/>
    <s v="P025"/>
    <x v="19"/>
    <x v="4"/>
    <n v="13"/>
    <n v="168"/>
    <x v="2"/>
    <n v="2184"/>
    <x v="2"/>
    <x v="3"/>
    <n v="715"/>
    <n v="0.32738095238095238"/>
    <n v="0.22807017543859648"/>
  </r>
  <r>
    <x v="428"/>
    <s v="2025-05-10"/>
    <x v="4"/>
    <s v="P027"/>
    <x v="27"/>
    <x v="1"/>
    <n v="8"/>
    <n v="135"/>
    <x v="0"/>
    <n v="972"/>
    <x v="5"/>
    <x v="5"/>
    <n v="344"/>
    <n v="0.35390946502057613"/>
    <n v="0.14035087719298245"/>
  </r>
  <r>
    <x v="429"/>
    <s v="2025-06-03"/>
    <x v="10"/>
    <s v="P005"/>
    <x v="31"/>
    <x v="3"/>
    <n v="14"/>
    <n v="98"/>
    <x v="0"/>
    <n v="1234.8"/>
    <x v="5"/>
    <x v="0"/>
    <n v="812"/>
    <n v="0.65759637188208619"/>
    <n v="0.24561403508771928"/>
  </r>
  <r>
    <x v="430"/>
    <s v="2025-01-26"/>
    <x v="3"/>
    <s v="P029"/>
    <x v="34"/>
    <x v="2"/>
    <n v="11"/>
    <n v="100"/>
    <x v="2"/>
    <n v="1100"/>
    <x v="2"/>
    <x v="3"/>
    <n v="242"/>
    <n v="0.22"/>
    <n v="0.19298245614035087"/>
  </r>
  <r>
    <x v="431"/>
    <s v="2025-02-09"/>
    <x v="9"/>
    <s v="P040"/>
    <x v="12"/>
    <x v="4"/>
    <n v="1"/>
    <n v="145"/>
    <x v="0"/>
    <n v="130.5"/>
    <x v="0"/>
    <x v="2"/>
    <n v="82"/>
    <n v="0.62835249042145591"/>
    <n v="1.7543859649122806E-2"/>
  </r>
  <r>
    <x v="432"/>
    <s v="2025-05-24"/>
    <x v="4"/>
    <s v="P001"/>
    <x v="21"/>
    <x v="2"/>
    <n v="12"/>
    <n v="74"/>
    <x v="1"/>
    <n v="843.6"/>
    <x v="4"/>
    <x v="5"/>
    <n v="336"/>
    <n v="0.39829302987197723"/>
    <n v="0.21052631578947367"/>
  </r>
  <r>
    <x v="433"/>
    <s v="2025-03-02"/>
    <x v="0"/>
    <s v="P031"/>
    <x v="33"/>
    <x v="0"/>
    <n v="5"/>
    <n v="119"/>
    <x v="1"/>
    <n v="565.25"/>
    <x v="2"/>
    <x v="4"/>
    <n v="235"/>
    <n v="0.41574524546660768"/>
    <n v="8.771929824561403E-2"/>
  </r>
  <r>
    <x v="434"/>
    <s v="2025-01-01"/>
    <x v="7"/>
    <s v="P037"/>
    <x v="2"/>
    <x v="2"/>
    <n v="4"/>
    <n v="160"/>
    <x v="2"/>
    <n v="640"/>
    <x v="1"/>
    <x v="3"/>
    <n v="220"/>
    <n v="0.34375"/>
    <n v="7.0175438596491224E-2"/>
  </r>
  <r>
    <x v="435"/>
    <s v="2025-04-27"/>
    <x v="2"/>
    <s v="P021"/>
    <x v="29"/>
    <x v="3"/>
    <n v="4"/>
    <n v="65"/>
    <x v="2"/>
    <n v="260"/>
    <x v="1"/>
    <x v="1"/>
    <n v="88"/>
    <n v="0.33846153846153848"/>
    <n v="7.0175438596491224E-2"/>
  </r>
  <r>
    <x v="436"/>
    <s v="2025-04-21"/>
    <x v="1"/>
    <s v="P017"/>
    <x v="3"/>
    <x v="0"/>
    <n v="13"/>
    <n v="151"/>
    <x v="3"/>
    <n v="1668.55"/>
    <x v="2"/>
    <x v="1"/>
    <n v="689"/>
    <n v="0.41293338527463969"/>
    <n v="0.22807017543859648"/>
  </r>
  <r>
    <x v="437"/>
    <s v="2025-04-12"/>
    <x v="4"/>
    <s v="P016"/>
    <x v="8"/>
    <x v="0"/>
    <n v="3"/>
    <n v="89"/>
    <x v="1"/>
    <n v="253.65"/>
    <x v="0"/>
    <x v="1"/>
    <n v="195"/>
    <n v="0.76877587226493194"/>
    <n v="5.2631578947368418E-2"/>
  </r>
  <r>
    <x v="438"/>
    <s v="2025-06-02"/>
    <x v="3"/>
    <s v="P018"/>
    <x v="14"/>
    <x v="2"/>
    <n v="11"/>
    <n v="156"/>
    <x v="1"/>
    <n v="1630.2"/>
    <x v="1"/>
    <x v="0"/>
    <n v="693"/>
    <n v="0.4251012145748988"/>
    <n v="0.19298245614035087"/>
  </r>
  <r>
    <x v="439"/>
    <s v="2025-01-02"/>
    <x v="2"/>
    <s v="P013"/>
    <x v="0"/>
    <x v="0"/>
    <n v="10"/>
    <n v="143"/>
    <x v="2"/>
    <n v="1430"/>
    <x v="3"/>
    <x v="3"/>
    <n v="420"/>
    <n v="0.2937062937062937"/>
    <n v="0.17543859649122806"/>
  </r>
  <r>
    <x v="440"/>
    <s v="2025-04-14"/>
    <x v="1"/>
    <s v="P035"/>
    <x v="15"/>
    <x v="0"/>
    <n v="4"/>
    <n v="199"/>
    <x v="3"/>
    <n v="676.6"/>
    <x v="0"/>
    <x v="1"/>
    <n v="372"/>
    <n v="0.54980786284362992"/>
    <n v="7.0175438596491224E-2"/>
  </r>
  <r>
    <x v="441"/>
    <s v="2025-05-01"/>
    <x v="11"/>
    <s v="P029"/>
    <x v="34"/>
    <x v="2"/>
    <n v="15"/>
    <n v="100"/>
    <x v="0"/>
    <n v="1350"/>
    <x v="4"/>
    <x v="5"/>
    <n v="330"/>
    <n v="0.24444444444444444"/>
    <n v="0.26315789473684209"/>
  </r>
  <r>
    <x v="442"/>
    <s v="2025-04-27"/>
    <x v="11"/>
    <s v="P030"/>
    <x v="32"/>
    <x v="0"/>
    <n v="13"/>
    <n v="135"/>
    <x v="2"/>
    <n v="1755"/>
    <x v="2"/>
    <x v="1"/>
    <n v="1040"/>
    <n v="0.59259259259259256"/>
    <n v="0.22807017543859648"/>
  </r>
  <r>
    <x v="443"/>
    <s v="2025-04-21"/>
    <x v="11"/>
    <s v="P015"/>
    <x v="11"/>
    <x v="4"/>
    <n v="2"/>
    <n v="158"/>
    <x v="3"/>
    <n v="268.60000000000002"/>
    <x v="4"/>
    <x v="1"/>
    <n v="190"/>
    <n v="0.70737155621742365"/>
    <n v="3.5087719298245612E-2"/>
  </r>
  <r>
    <x v="444"/>
    <s v="2025-03-25"/>
    <x v="7"/>
    <s v="P025"/>
    <x v="19"/>
    <x v="4"/>
    <n v="1"/>
    <n v="168"/>
    <x v="1"/>
    <n v="159.6"/>
    <x v="4"/>
    <x v="4"/>
    <n v="55"/>
    <n v="0.34461152882205515"/>
    <n v="1.7543859649122806E-2"/>
  </r>
  <r>
    <x v="445"/>
    <s v="2025-06-12"/>
    <x v="1"/>
    <s v="P017"/>
    <x v="3"/>
    <x v="0"/>
    <n v="2"/>
    <n v="151"/>
    <x v="0"/>
    <n v="271.8"/>
    <x v="1"/>
    <x v="0"/>
    <n v="106"/>
    <n v="0.38999264164827074"/>
    <n v="3.5087719298245612E-2"/>
  </r>
  <r>
    <x v="446"/>
    <s v="2025-01-16"/>
    <x v="4"/>
    <s v="P030"/>
    <x v="32"/>
    <x v="0"/>
    <n v="4"/>
    <n v="135"/>
    <x v="1"/>
    <n v="513"/>
    <x v="3"/>
    <x v="3"/>
    <n v="320"/>
    <n v="0.62378167641325533"/>
    <n v="7.0175438596491224E-2"/>
  </r>
  <r>
    <x v="447"/>
    <s v="2025-05-17"/>
    <x v="10"/>
    <s v="P023"/>
    <x v="30"/>
    <x v="2"/>
    <n v="11"/>
    <n v="37"/>
    <x v="2"/>
    <n v="407"/>
    <x v="4"/>
    <x v="5"/>
    <n v="286"/>
    <n v="0.70270270270270274"/>
    <n v="0.19298245614035087"/>
  </r>
  <r>
    <x v="448"/>
    <s v="2025-01-05"/>
    <x v="10"/>
    <s v="P029"/>
    <x v="34"/>
    <x v="2"/>
    <n v="8"/>
    <n v="100"/>
    <x v="0"/>
    <n v="720"/>
    <x v="4"/>
    <x v="3"/>
    <n v="176"/>
    <n v="0.24444444444444444"/>
    <n v="0.14035087719298245"/>
  </r>
  <r>
    <x v="449"/>
    <s v="2025-01-26"/>
    <x v="2"/>
    <s v="P030"/>
    <x v="32"/>
    <x v="0"/>
    <n v="1"/>
    <n v="135"/>
    <x v="3"/>
    <n v="114.75"/>
    <x v="0"/>
    <x v="3"/>
    <n v="80"/>
    <n v="0.69716775599128544"/>
    <n v="1.7543859649122806E-2"/>
  </r>
  <r>
    <x v="450"/>
    <s v="2025-03-25"/>
    <x v="6"/>
    <s v="P012"/>
    <x v="17"/>
    <x v="0"/>
    <n v="6"/>
    <n v="98"/>
    <x v="2"/>
    <n v="588"/>
    <x v="4"/>
    <x v="4"/>
    <n v="132"/>
    <n v="0.22448979591836735"/>
    <n v="0.10526315789473684"/>
  </r>
  <r>
    <x v="451"/>
    <s v="2025-01-17"/>
    <x v="11"/>
    <s v="P036"/>
    <x v="6"/>
    <x v="0"/>
    <n v="4"/>
    <n v="139"/>
    <x v="0"/>
    <n v="500.4"/>
    <x v="1"/>
    <x v="3"/>
    <n v="280"/>
    <n v="0.55955235811350923"/>
    <n v="7.0175438596491224E-2"/>
  </r>
  <r>
    <x v="452"/>
    <s v="2025-03-19"/>
    <x v="7"/>
    <s v="P015"/>
    <x v="11"/>
    <x v="4"/>
    <n v="14"/>
    <n v="158"/>
    <x v="2"/>
    <n v="2212"/>
    <x v="3"/>
    <x v="4"/>
    <n v="1330"/>
    <n v="0.60126582278481011"/>
    <n v="0.24561403508771928"/>
  </r>
  <r>
    <x v="453"/>
    <s v="2025-01-04"/>
    <x v="11"/>
    <s v="P031"/>
    <x v="33"/>
    <x v="0"/>
    <n v="2"/>
    <n v="119"/>
    <x v="1"/>
    <n v="226.1"/>
    <x v="1"/>
    <x v="3"/>
    <n v="94"/>
    <n v="0.41574524546660768"/>
    <n v="3.5087719298245612E-2"/>
  </r>
  <r>
    <x v="454"/>
    <s v="2025-02-22"/>
    <x v="7"/>
    <s v="P026"/>
    <x v="20"/>
    <x v="4"/>
    <n v="10"/>
    <n v="82"/>
    <x v="1"/>
    <n v="779"/>
    <x v="3"/>
    <x v="2"/>
    <n v="400"/>
    <n v="0.51347881899871628"/>
    <n v="0.17543859649122806"/>
  </r>
  <r>
    <x v="455"/>
    <s v="2025-04-20"/>
    <x v="3"/>
    <s v="P012"/>
    <x v="17"/>
    <x v="0"/>
    <n v="10"/>
    <n v="98"/>
    <x v="1"/>
    <n v="931"/>
    <x v="3"/>
    <x v="1"/>
    <n v="220"/>
    <n v="0.23630504833512353"/>
    <n v="0.17543859649122806"/>
  </r>
  <r>
    <x v="456"/>
    <s v="2025-02-03"/>
    <x v="7"/>
    <s v="P009"/>
    <x v="24"/>
    <x v="4"/>
    <n v="13"/>
    <n v="96"/>
    <x v="0"/>
    <n v="1123.2"/>
    <x v="2"/>
    <x v="2"/>
    <n v="312"/>
    <n v="0.27777777777777779"/>
    <n v="0.22807017543859648"/>
  </r>
  <r>
    <x v="457"/>
    <s v="2025-04-12"/>
    <x v="6"/>
    <s v="P003"/>
    <x v="10"/>
    <x v="1"/>
    <n v="15"/>
    <n v="86"/>
    <x v="3"/>
    <n v="1096.5"/>
    <x v="5"/>
    <x v="1"/>
    <n v="300"/>
    <n v="0.27359781121751026"/>
    <n v="0.26315789473684209"/>
  </r>
  <r>
    <x v="458"/>
    <s v="2025-01-03"/>
    <x v="3"/>
    <s v="P022"/>
    <x v="7"/>
    <x v="4"/>
    <n v="12"/>
    <n v="147"/>
    <x v="0"/>
    <n v="1587.6"/>
    <x v="3"/>
    <x v="3"/>
    <n v="1032"/>
    <n v="0.6500377928949358"/>
    <n v="0.21052631578947367"/>
  </r>
  <r>
    <x v="459"/>
    <s v="2025-03-29"/>
    <x v="3"/>
    <s v="P005"/>
    <x v="31"/>
    <x v="3"/>
    <n v="14"/>
    <n v="98"/>
    <x v="1"/>
    <n v="1303.4000000000001"/>
    <x v="5"/>
    <x v="4"/>
    <n v="812"/>
    <n v="0.62298603651987106"/>
    <n v="0.24561403508771928"/>
  </r>
  <r>
    <x v="460"/>
    <s v="2025-05-24"/>
    <x v="8"/>
    <s v="P038"/>
    <x v="37"/>
    <x v="3"/>
    <n v="3"/>
    <n v="113"/>
    <x v="3"/>
    <n v="288.14999999999998"/>
    <x v="2"/>
    <x v="5"/>
    <n v="150"/>
    <n v="0.52056220718375845"/>
    <n v="5.2631578947368418E-2"/>
  </r>
  <r>
    <x v="461"/>
    <s v="2025-06-03"/>
    <x v="2"/>
    <s v="P023"/>
    <x v="30"/>
    <x v="2"/>
    <n v="5"/>
    <n v="37"/>
    <x v="2"/>
    <n v="185"/>
    <x v="3"/>
    <x v="0"/>
    <n v="130"/>
    <n v="0.70270270270270274"/>
    <n v="8.771929824561403E-2"/>
  </r>
  <r>
    <x v="462"/>
    <s v="2025-03-04"/>
    <x v="6"/>
    <s v="P014"/>
    <x v="36"/>
    <x v="2"/>
    <n v="5"/>
    <n v="96"/>
    <x v="1"/>
    <n v="456"/>
    <x v="0"/>
    <x v="4"/>
    <n v="380"/>
    <n v="0.83333333333333337"/>
    <n v="8.771929824561403E-2"/>
  </r>
  <r>
    <x v="463"/>
    <s v="2025-05-04"/>
    <x v="5"/>
    <s v="P037"/>
    <x v="2"/>
    <x v="2"/>
    <n v="15"/>
    <n v="160"/>
    <x v="1"/>
    <n v="2280"/>
    <x v="4"/>
    <x v="5"/>
    <n v="825"/>
    <n v="0.36184210526315791"/>
    <n v="0.26315789473684209"/>
  </r>
  <r>
    <x v="464"/>
    <s v="2025-06-24"/>
    <x v="9"/>
    <s v="P038"/>
    <x v="37"/>
    <x v="3"/>
    <n v="4"/>
    <n v="113"/>
    <x v="3"/>
    <n v="384.2"/>
    <x v="2"/>
    <x v="0"/>
    <n v="200"/>
    <n v="0.52056220718375845"/>
    <n v="7.0175438596491224E-2"/>
  </r>
  <r>
    <x v="465"/>
    <s v="2025-03-18"/>
    <x v="0"/>
    <s v="P039"/>
    <x v="9"/>
    <x v="4"/>
    <n v="8"/>
    <n v="181"/>
    <x v="1"/>
    <n v="1375.6"/>
    <x v="0"/>
    <x v="4"/>
    <n v="504"/>
    <n v="0.36638557720267523"/>
    <n v="0.14035087719298245"/>
  </r>
  <r>
    <x v="466"/>
    <s v="2025-03-06"/>
    <x v="8"/>
    <s v="P012"/>
    <x v="17"/>
    <x v="0"/>
    <n v="5"/>
    <n v="98"/>
    <x v="3"/>
    <n v="416.5"/>
    <x v="5"/>
    <x v="4"/>
    <n v="110"/>
    <n v="0.26410564225690275"/>
    <n v="8.771929824561403E-2"/>
  </r>
  <r>
    <x v="467"/>
    <s v="2025-01-01"/>
    <x v="2"/>
    <s v="P017"/>
    <x v="3"/>
    <x v="0"/>
    <n v="9"/>
    <n v="151"/>
    <x v="3"/>
    <n v="1155.1500000000001"/>
    <x v="3"/>
    <x v="3"/>
    <n v="477"/>
    <n v="0.41293338527463963"/>
    <n v="0.15789473684210525"/>
  </r>
  <r>
    <x v="468"/>
    <s v="2025-05-13"/>
    <x v="2"/>
    <s v="P019"/>
    <x v="1"/>
    <x v="1"/>
    <n v="10"/>
    <n v="95"/>
    <x v="0"/>
    <n v="855"/>
    <x v="3"/>
    <x v="5"/>
    <n v="740"/>
    <n v="0.86549707602339176"/>
    <n v="0.17543859649122806"/>
  </r>
  <r>
    <x v="469"/>
    <s v="2025-06-05"/>
    <x v="8"/>
    <s v="P021"/>
    <x v="29"/>
    <x v="3"/>
    <n v="3"/>
    <n v="65"/>
    <x v="3"/>
    <n v="165.75"/>
    <x v="0"/>
    <x v="0"/>
    <n v="66"/>
    <n v="0.39819004524886875"/>
    <n v="5.2631578947368418E-2"/>
  </r>
  <r>
    <x v="470"/>
    <s v="2025-05-23"/>
    <x v="10"/>
    <s v="P033"/>
    <x v="28"/>
    <x v="0"/>
    <n v="6"/>
    <n v="52"/>
    <x v="0"/>
    <n v="280.8"/>
    <x v="0"/>
    <x v="5"/>
    <n v="234"/>
    <n v="0.83333333333333326"/>
    <n v="0.10526315789473684"/>
  </r>
  <r>
    <x v="471"/>
    <s v="2025-05-29"/>
    <x v="7"/>
    <s v="P023"/>
    <x v="30"/>
    <x v="2"/>
    <n v="1"/>
    <n v="37"/>
    <x v="1"/>
    <n v="35.15"/>
    <x v="0"/>
    <x v="5"/>
    <n v="26"/>
    <n v="0.73968705547652924"/>
    <n v="1.7543859649122806E-2"/>
  </r>
  <r>
    <x v="472"/>
    <s v="2025-06-22"/>
    <x v="11"/>
    <s v="P034"/>
    <x v="5"/>
    <x v="0"/>
    <n v="5"/>
    <n v="154"/>
    <x v="2"/>
    <n v="770"/>
    <x v="2"/>
    <x v="0"/>
    <n v="290"/>
    <n v="0.37662337662337664"/>
    <n v="8.771929824561403E-2"/>
  </r>
  <r>
    <x v="473"/>
    <s v="2025-01-27"/>
    <x v="9"/>
    <s v="P039"/>
    <x v="9"/>
    <x v="4"/>
    <n v="14"/>
    <n v="181"/>
    <x v="3"/>
    <n v="2153.9"/>
    <x v="1"/>
    <x v="3"/>
    <n v="882"/>
    <n v="0.40948976275593107"/>
    <n v="0.24561403508771928"/>
  </r>
  <r>
    <x v="474"/>
    <s v="2025-05-10"/>
    <x v="7"/>
    <s v="P017"/>
    <x v="3"/>
    <x v="0"/>
    <n v="3"/>
    <n v="151"/>
    <x v="2"/>
    <n v="453"/>
    <x v="0"/>
    <x v="5"/>
    <n v="159"/>
    <n v="0.35099337748344372"/>
    <n v="5.2631578947368418E-2"/>
  </r>
  <r>
    <x v="475"/>
    <s v="2025-03-12"/>
    <x v="3"/>
    <s v="P018"/>
    <x v="14"/>
    <x v="2"/>
    <n v="7"/>
    <n v="156"/>
    <x v="1"/>
    <n v="1037.4000000000001"/>
    <x v="3"/>
    <x v="4"/>
    <n v="441"/>
    <n v="0.42510121457489874"/>
    <n v="0.12280701754385964"/>
  </r>
  <r>
    <x v="476"/>
    <s v="2025-02-28"/>
    <x v="8"/>
    <s v="P035"/>
    <x v="15"/>
    <x v="0"/>
    <n v="4"/>
    <n v="199"/>
    <x v="0"/>
    <n v="716.4"/>
    <x v="4"/>
    <x v="2"/>
    <n v="372"/>
    <n v="0.51926298157453943"/>
    <n v="7.0175438596491224E-2"/>
  </r>
  <r>
    <x v="477"/>
    <s v="2025-03-18"/>
    <x v="9"/>
    <s v="P004"/>
    <x v="22"/>
    <x v="1"/>
    <n v="3"/>
    <n v="99"/>
    <x v="2"/>
    <n v="297"/>
    <x v="2"/>
    <x v="4"/>
    <n v="72"/>
    <n v="0.24242424242424243"/>
    <n v="5.2631578947368418E-2"/>
  </r>
  <r>
    <x v="478"/>
    <s v="2025-01-12"/>
    <x v="2"/>
    <s v="P040"/>
    <x v="12"/>
    <x v="4"/>
    <n v="1"/>
    <n v="145"/>
    <x v="1"/>
    <n v="137.75"/>
    <x v="3"/>
    <x v="3"/>
    <n v="82"/>
    <n v="0.59528130671506352"/>
    <n v="1.7543859649122806E-2"/>
  </r>
  <r>
    <x v="479"/>
    <s v="2025-03-11"/>
    <x v="5"/>
    <s v="P037"/>
    <x v="2"/>
    <x v="2"/>
    <n v="14"/>
    <n v="160"/>
    <x v="0"/>
    <n v="2016"/>
    <x v="2"/>
    <x v="4"/>
    <n v="770"/>
    <n v="0.38194444444444442"/>
    <n v="0.24561403508771928"/>
  </r>
  <r>
    <x v="480"/>
    <s v="2025-03-07"/>
    <x v="7"/>
    <s v="P033"/>
    <x v="28"/>
    <x v="0"/>
    <n v="6"/>
    <n v="52"/>
    <x v="3"/>
    <n v="265.2"/>
    <x v="2"/>
    <x v="4"/>
    <n v="234"/>
    <n v="0.88235294117647067"/>
    <n v="0.10526315789473684"/>
  </r>
  <r>
    <x v="481"/>
    <s v="2025-04-13"/>
    <x v="3"/>
    <s v="P002"/>
    <x v="4"/>
    <x v="3"/>
    <n v="1"/>
    <n v="146"/>
    <x v="1"/>
    <n v="138.69999999999999"/>
    <x v="3"/>
    <x v="1"/>
    <n v="50"/>
    <n v="0.36049026676279744"/>
    <n v="1.7543859649122806E-2"/>
  </r>
  <r>
    <x v="482"/>
    <s v="2025-04-19"/>
    <x v="5"/>
    <s v="P011"/>
    <x v="13"/>
    <x v="1"/>
    <n v="1"/>
    <n v="90"/>
    <x v="3"/>
    <n v="76.5"/>
    <x v="1"/>
    <x v="1"/>
    <n v="31"/>
    <n v="0.40522875816993464"/>
    <n v="1.7543859649122806E-2"/>
  </r>
  <r>
    <x v="483"/>
    <s v="2025-01-13"/>
    <x v="2"/>
    <s v="P036"/>
    <x v="6"/>
    <x v="0"/>
    <n v="12"/>
    <n v="139"/>
    <x v="0"/>
    <n v="1501.2"/>
    <x v="3"/>
    <x v="3"/>
    <n v="840"/>
    <n v="0.55955235811350923"/>
    <n v="0.21052631578947367"/>
  </r>
  <r>
    <x v="484"/>
    <s v="2025-04-14"/>
    <x v="5"/>
    <s v="P027"/>
    <x v="27"/>
    <x v="1"/>
    <n v="4"/>
    <n v="135"/>
    <x v="3"/>
    <n v="459"/>
    <x v="3"/>
    <x v="1"/>
    <n v="172"/>
    <n v="0.37472766884531589"/>
    <n v="7.0175438596491224E-2"/>
  </r>
  <r>
    <x v="485"/>
    <s v="2025-03-08"/>
    <x v="9"/>
    <s v="P012"/>
    <x v="17"/>
    <x v="0"/>
    <n v="7"/>
    <n v="98"/>
    <x v="0"/>
    <n v="617.4"/>
    <x v="1"/>
    <x v="4"/>
    <n v="154"/>
    <n v="0.24943310657596374"/>
    <n v="0.12280701754385964"/>
  </r>
  <r>
    <x v="486"/>
    <s v="2025-04-08"/>
    <x v="9"/>
    <s v="P007"/>
    <x v="16"/>
    <x v="3"/>
    <n v="5"/>
    <n v="128"/>
    <x v="0"/>
    <n v="576"/>
    <x v="0"/>
    <x v="1"/>
    <n v="265"/>
    <n v="0.46006944444444442"/>
    <n v="8.771929824561403E-2"/>
  </r>
  <r>
    <x v="487"/>
    <s v="2025-03-24"/>
    <x v="5"/>
    <s v="P015"/>
    <x v="11"/>
    <x v="4"/>
    <n v="14"/>
    <n v="158"/>
    <x v="0"/>
    <n v="1990.8"/>
    <x v="0"/>
    <x v="4"/>
    <n v="1330"/>
    <n v="0.66807313642756683"/>
    <n v="0.24561403508771928"/>
  </r>
  <r>
    <x v="488"/>
    <s v="2025-01-08"/>
    <x v="9"/>
    <s v="P038"/>
    <x v="37"/>
    <x v="3"/>
    <n v="15"/>
    <n v="113"/>
    <x v="3"/>
    <n v="1440.75"/>
    <x v="4"/>
    <x v="3"/>
    <n v="750"/>
    <n v="0.52056220718375845"/>
    <n v="0.26315789473684209"/>
  </r>
  <r>
    <x v="489"/>
    <s v="2025-03-27"/>
    <x v="11"/>
    <s v="P037"/>
    <x v="2"/>
    <x v="2"/>
    <n v="4"/>
    <n v="160"/>
    <x v="0"/>
    <n v="576"/>
    <x v="3"/>
    <x v="4"/>
    <n v="220"/>
    <n v="0.38194444444444442"/>
    <n v="7.0175438596491224E-2"/>
  </r>
  <r>
    <x v="490"/>
    <s v="2025-04-22"/>
    <x v="10"/>
    <s v="P014"/>
    <x v="36"/>
    <x v="2"/>
    <n v="14"/>
    <n v="96"/>
    <x v="2"/>
    <n v="1344"/>
    <x v="5"/>
    <x v="1"/>
    <n v="1064"/>
    <n v="0.79166666666666663"/>
    <n v="0.24561403508771928"/>
  </r>
  <r>
    <x v="491"/>
    <s v="2025-04-17"/>
    <x v="2"/>
    <s v="P031"/>
    <x v="33"/>
    <x v="0"/>
    <n v="4"/>
    <n v="119"/>
    <x v="2"/>
    <n v="476"/>
    <x v="4"/>
    <x v="1"/>
    <n v="188"/>
    <n v="0.3949579831932773"/>
    <n v="7.0175438596491224E-2"/>
  </r>
  <r>
    <x v="492"/>
    <s v="2025-02-12"/>
    <x v="0"/>
    <s v="P019"/>
    <x v="1"/>
    <x v="1"/>
    <n v="7"/>
    <n v="95"/>
    <x v="1"/>
    <n v="631.75"/>
    <x v="0"/>
    <x v="2"/>
    <n v="518"/>
    <n v="0.81994459833795019"/>
    <n v="0.12280701754385964"/>
  </r>
  <r>
    <x v="493"/>
    <s v="2025-03-24"/>
    <x v="6"/>
    <s v="P024"/>
    <x v="39"/>
    <x v="1"/>
    <n v="15"/>
    <n v="144"/>
    <x v="2"/>
    <n v="2160"/>
    <x v="4"/>
    <x v="4"/>
    <n v="840"/>
    <n v="0.3888888888888889"/>
    <n v="0.26315789473684209"/>
  </r>
  <r>
    <x v="494"/>
    <s v="2025-06-08"/>
    <x v="6"/>
    <s v="P022"/>
    <x v="7"/>
    <x v="4"/>
    <n v="2"/>
    <n v="147"/>
    <x v="1"/>
    <n v="279.3"/>
    <x v="5"/>
    <x v="0"/>
    <n v="172"/>
    <n v="0.61582527747941285"/>
    <n v="3.5087719298245612E-2"/>
  </r>
  <r>
    <x v="495"/>
    <s v="2025-01-05"/>
    <x v="8"/>
    <s v="P003"/>
    <x v="10"/>
    <x v="1"/>
    <n v="11"/>
    <n v="86"/>
    <x v="2"/>
    <n v="946"/>
    <x v="3"/>
    <x v="3"/>
    <n v="220"/>
    <n v="0.23255813953488372"/>
    <n v="0.19298245614035087"/>
  </r>
  <r>
    <x v="496"/>
    <s v="2025-03-03"/>
    <x v="6"/>
    <s v="P006"/>
    <x v="26"/>
    <x v="4"/>
    <n v="6"/>
    <n v="140"/>
    <x v="3"/>
    <n v="714"/>
    <x v="4"/>
    <x v="4"/>
    <n v="588"/>
    <n v="0.82352941176470584"/>
    <n v="0.10526315789473684"/>
  </r>
  <r>
    <x v="497"/>
    <s v="2025-04-26"/>
    <x v="6"/>
    <s v="P018"/>
    <x v="14"/>
    <x v="2"/>
    <n v="7"/>
    <n v="156"/>
    <x v="1"/>
    <n v="1037.4000000000001"/>
    <x v="5"/>
    <x v="1"/>
    <n v="441"/>
    <n v="0.42510121457489874"/>
    <n v="0.12280701754385964"/>
  </r>
  <r>
    <x v="498"/>
    <s v="2025-02-21"/>
    <x v="0"/>
    <s v="P019"/>
    <x v="1"/>
    <x v="1"/>
    <n v="1"/>
    <n v="95"/>
    <x v="3"/>
    <n v="80.75"/>
    <x v="2"/>
    <x v="2"/>
    <n v="74"/>
    <n v="0.91640866873065019"/>
    <n v="1.7543859649122806E-2"/>
  </r>
  <r>
    <x v="499"/>
    <s v="2025-04-18"/>
    <x v="4"/>
    <s v="P033"/>
    <x v="28"/>
    <x v="0"/>
    <n v="10"/>
    <n v="52"/>
    <x v="2"/>
    <n v="520"/>
    <x v="3"/>
    <x v="1"/>
    <n v="390"/>
    <n v="0.75"/>
    <n v="0.1754385964912280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006"/>
    <x v="0"/>
    <x v="0"/>
    <n v="172"/>
    <n v="29"/>
    <n v="144"/>
    <n v="57"/>
    <n v="42"/>
    <x v="0"/>
    <n v="2394"/>
    <n v="200.5"/>
    <n v="0.71820448877805487"/>
    <x v="0"/>
    <n v="2394"/>
  </r>
  <r>
    <s v="P029"/>
    <x v="1"/>
    <x v="1"/>
    <n v="177"/>
    <n v="96"/>
    <n v="77"/>
    <n v="196"/>
    <n v="78"/>
    <x v="1"/>
    <n v="15288"/>
    <n v="275"/>
    <n v="0.28000000000000003"/>
    <x v="1"/>
    <n v="15288"/>
  </r>
  <r>
    <s v="P014"/>
    <x v="2"/>
    <x v="1"/>
    <n v="180"/>
    <n v="130"/>
    <n v="165"/>
    <n v="145"/>
    <n v="20"/>
    <x v="2"/>
    <n v="2900"/>
    <n v="252.5"/>
    <n v="0.65346534653465349"/>
    <x v="1"/>
    <n v="2900"/>
  </r>
  <r>
    <s v="P038"/>
    <x v="3"/>
    <x v="2"/>
    <n v="112"/>
    <n v="126"/>
    <n v="74"/>
    <n v="164"/>
    <n v="63"/>
    <x v="1"/>
    <n v="10332"/>
    <n v="194"/>
    <n v="0.38144329896907214"/>
    <x v="1"/>
    <n v="10332"/>
  </r>
  <r>
    <s v="P003"/>
    <x v="4"/>
    <x v="3"/>
    <n v="167"/>
    <n v="69"/>
    <n v="179"/>
    <n v="57"/>
    <n v="66"/>
    <x v="2"/>
    <n v="3762"/>
    <n v="195.5"/>
    <n v="0.9156010230179028"/>
    <x v="0"/>
    <n v="3762"/>
  </r>
  <r>
    <s v="P038"/>
    <x v="3"/>
    <x v="2"/>
    <n v="190"/>
    <n v="107"/>
    <n v="167"/>
    <n v="130"/>
    <n v="63"/>
    <x v="1"/>
    <n v="8190"/>
    <n v="255"/>
    <n v="0.65490196078431373"/>
    <x v="1"/>
    <n v="8190"/>
  </r>
  <r>
    <s v="P006"/>
    <x v="0"/>
    <x v="0"/>
    <n v="112"/>
    <n v="55"/>
    <n v="74"/>
    <n v="93"/>
    <n v="42"/>
    <x v="3"/>
    <n v="3906"/>
    <n v="158.5"/>
    <n v="0.46687697160883279"/>
    <x v="0"/>
    <n v="3906"/>
  </r>
  <r>
    <s v="P014"/>
    <x v="2"/>
    <x v="1"/>
    <n v="199"/>
    <n v="103"/>
    <n v="93"/>
    <n v="209"/>
    <n v="20"/>
    <x v="3"/>
    <n v="4180"/>
    <n v="303.5"/>
    <n v="0.30642504118616143"/>
    <x v="1"/>
    <n v="4180"/>
  </r>
  <r>
    <s v="P029"/>
    <x v="1"/>
    <x v="1"/>
    <n v="50"/>
    <n v="32"/>
    <n v="128"/>
    <n v="-46"/>
    <n v="78"/>
    <x v="3"/>
    <n v="-3588"/>
    <n v="27"/>
    <n v="4.7407407407407405"/>
    <x v="2"/>
    <n v="-3588"/>
  </r>
  <r>
    <s v="P032"/>
    <x v="5"/>
    <x v="2"/>
    <n v="104"/>
    <n v="134"/>
    <n v="62"/>
    <n v="176"/>
    <n v="85"/>
    <x v="1"/>
    <n v="14960"/>
    <n v="192"/>
    <n v="0.32291666666666669"/>
    <x v="1"/>
    <n v="14960"/>
  </r>
  <r>
    <s v="P040"/>
    <x v="6"/>
    <x v="0"/>
    <n v="144"/>
    <n v="137"/>
    <n v="125"/>
    <n v="156"/>
    <n v="63"/>
    <x v="3"/>
    <n v="9828"/>
    <n v="222"/>
    <n v="0.56306306306306309"/>
    <x v="1"/>
    <n v="9828"/>
  </r>
  <r>
    <s v="P037"/>
    <x v="7"/>
    <x v="1"/>
    <n v="171"/>
    <n v="63"/>
    <n v="69"/>
    <n v="165"/>
    <n v="105"/>
    <x v="3"/>
    <n v="17325"/>
    <n v="253.5"/>
    <n v="0.27218934911242604"/>
    <x v="1"/>
    <n v="17325"/>
  </r>
  <r>
    <s v="P027"/>
    <x v="8"/>
    <x v="3"/>
    <n v="67"/>
    <n v="101"/>
    <n v="77"/>
    <n v="91"/>
    <n v="92"/>
    <x v="4"/>
    <n v="8372"/>
    <n v="112.5"/>
    <n v="0.68444444444444441"/>
    <x v="0"/>
    <n v="8372"/>
  </r>
  <r>
    <s v="P014"/>
    <x v="2"/>
    <x v="1"/>
    <n v="126"/>
    <n v="115"/>
    <n v="96"/>
    <n v="145"/>
    <n v="20"/>
    <x v="0"/>
    <n v="2900"/>
    <n v="198.5"/>
    <n v="0.48362720403022669"/>
    <x v="1"/>
    <n v="2900"/>
  </r>
  <r>
    <s v="P033"/>
    <x v="9"/>
    <x v="4"/>
    <n v="114"/>
    <n v="39"/>
    <n v="44"/>
    <n v="109"/>
    <n v="13"/>
    <x v="3"/>
    <n v="1417"/>
    <n v="168.5"/>
    <n v="0.26112759643916916"/>
    <x v="1"/>
    <n v="1417"/>
  </r>
  <r>
    <s v="P010"/>
    <x v="10"/>
    <x v="3"/>
    <n v="95"/>
    <n v="114"/>
    <n v="98"/>
    <n v="111"/>
    <n v="94"/>
    <x v="2"/>
    <n v="10434"/>
    <n v="150.5"/>
    <n v="0.65116279069767447"/>
    <x v="1"/>
    <n v="10434"/>
  </r>
  <r>
    <s v="P005"/>
    <x v="11"/>
    <x v="2"/>
    <n v="153"/>
    <n v="145"/>
    <n v="117"/>
    <n v="181"/>
    <n v="40"/>
    <x v="2"/>
    <n v="7240"/>
    <n v="243.5"/>
    <n v="0.48049281314168379"/>
    <x v="1"/>
    <n v="7240"/>
  </r>
  <r>
    <s v="P028"/>
    <x v="12"/>
    <x v="3"/>
    <n v="176"/>
    <n v="21"/>
    <n v="127"/>
    <n v="70"/>
    <n v="54"/>
    <x v="0"/>
    <n v="3780"/>
    <n v="211"/>
    <n v="0.6018957345971564"/>
    <x v="0"/>
    <n v="3780"/>
  </r>
  <r>
    <s v="P008"/>
    <x v="13"/>
    <x v="2"/>
    <n v="141"/>
    <n v="109"/>
    <n v="137"/>
    <n v="113"/>
    <n v="46"/>
    <x v="0"/>
    <n v="5198"/>
    <n v="197.5"/>
    <n v="0.6936708860759494"/>
    <x v="1"/>
    <n v="5198"/>
  </r>
  <r>
    <s v="P012"/>
    <x v="14"/>
    <x v="4"/>
    <n v="136"/>
    <n v="85"/>
    <n v="168"/>
    <n v="53"/>
    <n v="76"/>
    <x v="4"/>
    <n v="4028"/>
    <n v="162.5"/>
    <n v="1.0338461538461539"/>
    <x v="0"/>
    <n v="4028"/>
  </r>
  <r>
    <s v="P035"/>
    <x v="15"/>
    <x v="4"/>
    <n v="50"/>
    <n v="77"/>
    <n v="70"/>
    <n v="57"/>
    <n v="106"/>
    <x v="0"/>
    <n v="6042"/>
    <n v="78.5"/>
    <n v="0.89171974522292996"/>
    <x v="0"/>
    <n v="6042"/>
  </r>
  <r>
    <s v="P033"/>
    <x v="9"/>
    <x v="4"/>
    <n v="125"/>
    <n v="46"/>
    <n v="79"/>
    <n v="92"/>
    <n v="13"/>
    <x v="2"/>
    <n v="1196"/>
    <n v="171"/>
    <n v="0.46198830409356723"/>
    <x v="0"/>
    <n v="1196"/>
  </r>
  <r>
    <s v="P002"/>
    <x v="16"/>
    <x v="2"/>
    <n v="121"/>
    <n v="24"/>
    <n v="176"/>
    <n v="-31"/>
    <n v="96"/>
    <x v="3"/>
    <n v="-2976"/>
    <n v="105.5"/>
    <n v="1.6682464454976302"/>
    <x v="2"/>
    <n v="-2976"/>
  </r>
  <r>
    <s v="P028"/>
    <x v="12"/>
    <x v="3"/>
    <n v="111"/>
    <n v="110"/>
    <n v="131"/>
    <n v="90"/>
    <n v="54"/>
    <x v="4"/>
    <n v="4860"/>
    <n v="156"/>
    <n v="0.83974358974358976"/>
    <x v="0"/>
    <n v="4860"/>
  </r>
  <r>
    <s v="P028"/>
    <x v="12"/>
    <x v="3"/>
    <n v="171"/>
    <n v="36"/>
    <n v="52"/>
    <n v="155"/>
    <n v="54"/>
    <x v="4"/>
    <n v="8370"/>
    <n v="248.5"/>
    <n v="0.20925553319919518"/>
    <x v="1"/>
    <n v="8370"/>
  </r>
  <r>
    <s v="P039"/>
    <x v="17"/>
    <x v="0"/>
    <n v="126"/>
    <n v="145"/>
    <n v="33"/>
    <n v="238"/>
    <n v="118"/>
    <x v="1"/>
    <n v="28084"/>
    <n v="245"/>
    <n v="0.13469387755102041"/>
    <x v="1"/>
    <n v="28084"/>
  </r>
  <r>
    <s v="P006"/>
    <x v="0"/>
    <x v="0"/>
    <n v="111"/>
    <n v="117"/>
    <n v="60"/>
    <n v="168"/>
    <n v="42"/>
    <x v="4"/>
    <n v="7056"/>
    <n v="195"/>
    <n v="0.30769230769230771"/>
    <x v="1"/>
    <n v="7056"/>
  </r>
  <r>
    <s v="P035"/>
    <x v="15"/>
    <x v="4"/>
    <n v="181"/>
    <n v="108"/>
    <n v="31"/>
    <n v="258"/>
    <n v="106"/>
    <x v="0"/>
    <n v="27348"/>
    <n v="310"/>
    <n v="0.1"/>
    <x v="1"/>
    <n v="27348"/>
  </r>
  <r>
    <s v="P012"/>
    <x v="14"/>
    <x v="4"/>
    <n v="163"/>
    <n v="105"/>
    <n v="88"/>
    <n v="180"/>
    <n v="76"/>
    <x v="0"/>
    <n v="13680"/>
    <n v="253"/>
    <n v="0.34782608695652173"/>
    <x v="1"/>
    <n v="13680"/>
  </r>
  <r>
    <s v="P028"/>
    <x v="12"/>
    <x v="3"/>
    <n v="181"/>
    <n v="116"/>
    <n v="140"/>
    <n v="157"/>
    <n v="54"/>
    <x v="1"/>
    <n v="8478"/>
    <n v="259.5"/>
    <n v="0.53949903660886322"/>
    <x v="1"/>
    <n v="8478"/>
  </r>
  <r>
    <s v="P031"/>
    <x v="18"/>
    <x v="4"/>
    <n v="150"/>
    <n v="124"/>
    <n v="114"/>
    <n v="160"/>
    <n v="72"/>
    <x v="2"/>
    <n v="11520"/>
    <n v="230"/>
    <n v="0.4956521739130435"/>
    <x v="1"/>
    <n v="11520"/>
  </r>
  <r>
    <s v="P020"/>
    <x v="19"/>
    <x v="1"/>
    <n v="109"/>
    <n v="65"/>
    <n v="46"/>
    <n v="128"/>
    <n v="10"/>
    <x v="0"/>
    <n v="1280"/>
    <n v="173"/>
    <n v="0.26589595375722541"/>
    <x v="1"/>
    <n v="1280"/>
  </r>
  <r>
    <s v="P003"/>
    <x v="4"/>
    <x v="3"/>
    <n v="178"/>
    <n v="23"/>
    <n v="102"/>
    <n v="99"/>
    <n v="66"/>
    <x v="0"/>
    <n v="6534"/>
    <n v="227.5"/>
    <n v="0.44835164835164837"/>
    <x v="0"/>
    <n v="6534"/>
  </r>
  <r>
    <s v="P030"/>
    <x v="20"/>
    <x v="4"/>
    <n v="142"/>
    <n v="23"/>
    <n v="57"/>
    <n v="108"/>
    <n v="55"/>
    <x v="4"/>
    <n v="5940"/>
    <n v="196"/>
    <n v="0.29081632653061223"/>
    <x v="1"/>
    <n v="5940"/>
  </r>
  <r>
    <s v="P032"/>
    <x v="5"/>
    <x v="2"/>
    <n v="181"/>
    <n v="94"/>
    <n v="167"/>
    <n v="108"/>
    <n v="85"/>
    <x v="3"/>
    <n v="9180"/>
    <n v="235"/>
    <n v="0.71063829787234045"/>
    <x v="1"/>
    <n v="9180"/>
  </r>
  <r>
    <s v="P017"/>
    <x v="21"/>
    <x v="4"/>
    <n v="160"/>
    <n v="42"/>
    <n v="36"/>
    <n v="166"/>
    <n v="98"/>
    <x v="0"/>
    <n v="16268"/>
    <n v="243"/>
    <n v="0.14814814814814814"/>
    <x v="1"/>
    <n v="16268"/>
  </r>
  <r>
    <s v="P007"/>
    <x v="22"/>
    <x v="2"/>
    <n v="153"/>
    <n v="33"/>
    <n v="125"/>
    <n v="61"/>
    <n v="75"/>
    <x v="2"/>
    <n v="4575"/>
    <n v="183.5"/>
    <n v="0.68119891008174382"/>
    <x v="0"/>
    <n v="4575"/>
  </r>
  <r>
    <s v="P038"/>
    <x v="3"/>
    <x v="2"/>
    <n v="168"/>
    <n v="139"/>
    <n v="70"/>
    <n v="237"/>
    <n v="63"/>
    <x v="0"/>
    <n v="14931"/>
    <n v="286.5"/>
    <n v="0.24432809773123909"/>
    <x v="1"/>
    <n v="14931"/>
  </r>
  <r>
    <s v="P036"/>
    <x v="23"/>
    <x v="4"/>
    <n v="194"/>
    <n v="127"/>
    <n v="128"/>
    <n v="193"/>
    <n v="69"/>
    <x v="2"/>
    <n v="13317"/>
    <n v="290.5"/>
    <n v="0.44061962134251292"/>
    <x v="1"/>
    <n v="13317"/>
  </r>
  <r>
    <s v="P037"/>
    <x v="7"/>
    <x v="1"/>
    <n v="146"/>
    <n v="46"/>
    <n v="180"/>
    <n v="12"/>
    <n v="105"/>
    <x v="0"/>
    <n v="1260"/>
    <n v="152"/>
    <n v="1.1842105263157894"/>
    <x v="2"/>
    <n v="1260"/>
  </r>
  <r>
    <s v="P010"/>
    <x v="10"/>
    <x v="3"/>
    <n v="134"/>
    <n v="146"/>
    <n v="148"/>
    <n v="132"/>
    <n v="94"/>
    <x v="4"/>
    <n v="12408"/>
    <n v="200"/>
    <n v="0.74"/>
    <x v="1"/>
    <n v="12408"/>
  </r>
  <r>
    <s v="P027"/>
    <x v="8"/>
    <x v="3"/>
    <n v="128"/>
    <n v="71"/>
    <n v="75"/>
    <n v="124"/>
    <n v="92"/>
    <x v="3"/>
    <n v="11408"/>
    <n v="190"/>
    <n v="0.39473684210526316"/>
    <x v="1"/>
    <n v="11408"/>
  </r>
  <r>
    <s v="P030"/>
    <x v="20"/>
    <x v="4"/>
    <n v="90"/>
    <n v="73"/>
    <n v="40"/>
    <n v="123"/>
    <n v="55"/>
    <x v="2"/>
    <n v="6765"/>
    <n v="151.5"/>
    <n v="0.264026402640264"/>
    <x v="1"/>
    <n v="6765"/>
  </r>
  <r>
    <s v="P002"/>
    <x v="16"/>
    <x v="2"/>
    <n v="106"/>
    <n v="62"/>
    <n v="153"/>
    <n v="15"/>
    <n v="96"/>
    <x v="2"/>
    <n v="1440"/>
    <n v="113.5"/>
    <n v="1.3480176211453745"/>
    <x v="2"/>
    <n v="1440"/>
  </r>
  <r>
    <s v="P021"/>
    <x v="24"/>
    <x v="2"/>
    <n v="86"/>
    <n v="73"/>
    <n v="136"/>
    <n v="23"/>
    <n v="43"/>
    <x v="2"/>
    <n v="989"/>
    <n v="97.5"/>
    <n v="1.3948717948717948"/>
    <x v="2"/>
    <n v="989"/>
  </r>
  <r>
    <s v="P007"/>
    <x v="22"/>
    <x v="2"/>
    <n v="130"/>
    <n v="107"/>
    <n v="135"/>
    <n v="102"/>
    <n v="75"/>
    <x v="4"/>
    <n v="7650"/>
    <n v="181"/>
    <n v="0.7458563535911602"/>
    <x v="1"/>
    <n v="7650"/>
  </r>
  <r>
    <s v="P007"/>
    <x v="22"/>
    <x v="2"/>
    <n v="181"/>
    <n v="109"/>
    <n v="146"/>
    <n v="144"/>
    <n v="75"/>
    <x v="2"/>
    <n v="10800"/>
    <n v="253"/>
    <n v="0.57707509881422925"/>
    <x v="1"/>
    <n v="10800"/>
  </r>
  <r>
    <s v="P023"/>
    <x v="25"/>
    <x v="1"/>
    <n v="179"/>
    <n v="114"/>
    <n v="48"/>
    <n v="245"/>
    <n v="11"/>
    <x v="2"/>
    <n v="2695"/>
    <n v="301.5"/>
    <n v="0.15920398009950248"/>
    <x v="1"/>
    <n v="2695"/>
  </r>
  <r>
    <s v="P025"/>
    <x v="26"/>
    <x v="0"/>
    <n v="54"/>
    <n v="78"/>
    <n v="136"/>
    <n v="-4"/>
    <n v="113"/>
    <x v="1"/>
    <n v="-452"/>
    <n v="52"/>
    <n v="2.6153846153846154"/>
    <x v="2"/>
    <n v="-452"/>
  </r>
  <r>
    <s v="P001"/>
    <x v="27"/>
    <x v="1"/>
    <n v="105"/>
    <n v="95"/>
    <n v="145"/>
    <n v="55"/>
    <n v="46"/>
    <x v="4"/>
    <n v="2530"/>
    <n v="132.5"/>
    <n v="1.0943396226415094"/>
    <x v="0"/>
    <n v="2530"/>
  </r>
  <r>
    <s v="P003"/>
    <x v="4"/>
    <x v="3"/>
    <n v="98"/>
    <n v="32"/>
    <n v="117"/>
    <n v="13"/>
    <n v="66"/>
    <x v="2"/>
    <n v="858"/>
    <n v="104.5"/>
    <n v="1.1196172248803828"/>
    <x v="2"/>
    <n v="858"/>
  </r>
  <r>
    <s v="P008"/>
    <x v="13"/>
    <x v="2"/>
    <n v="79"/>
    <n v="76"/>
    <n v="84"/>
    <n v="71"/>
    <n v="46"/>
    <x v="3"/>
    <n v="3266"/>
    <n v="114.5"/>
    <n v="0.73362445414847166"/>
    <x v="0"/>
    <n v="3266"/>
  </r>
  <r>
    <s v="P003"/>
    <x v="4"/>
    <x v="3"/>
    <n v="176"/>
    <n v="59"/>
    <n v="75"/>
    <n v="160"/>
    <n v="66"/>
    <x v="4"/>
    <n v="10560"/>
    <n v="256"/>
    <n v="0.29296875"/>
    <x v="1"/>
    <n v="10560"/>
  </r>
  <r>
    <s v="P006"/>
    <x v="0"/>
    <x v="0"/>
    <n v="52"/>
    <n v="78"/>
    <n v="178"/>
    <n v="-48"/>
    <n v="42"/>
    <x v="4"/>
    <n v="-2016"/>
    <n v="28"/>
    <n v="6.3571428571428568"/>
    <x v="2"/>
    <n v="-2016"/>
  </r>
  <r>
    <s v="P022"/>
    <x v="28"/>
    <x v="0"/>
    <n v="196"/>
    <n v="46"/>
    <n v="157"/>
    <n v="85"/>
    <n v="61"/>
    <x v="3"/>
    <n v="5185"/>
    <n v="238.5"/>
    <n v="0.65828092243186587"/>
    <x v="0"/>
    <n v="5185"/>
  </r>
  <r>
    <s v="P004"/>
    <x v="29"/>
    <x v="3"/>
    <n v="73"/>
    <n v="88"/>
    <n v="153"/>
    <n v="8"/>
    <n v="75"/>
    <x v="2"/>
    <n v="600"/>
    <n v="77"/>
    <n v="1.9870129870129871"/>
    <x v="2"/>
    <n v="600"/>
  </r>
  <r>
    <s v="P007"/>
    <x v="22"/>
    <x v="2"/>
    <n v="146"/>
    <n v="117"/>
    <n v="46"/>
    <n v="217"/>
    <n v="75"/>
    <x v="2"/>
    <n v="16275"/>
    <n v="254.5"/>
    <n v="0.18074656188605109"/>
    <x v="1"/>
    <n v="16275"/>
  </r>
  <r>
    <s v="P019"/>
    <x v="30"/>
    <x v="3"/>
    <n v="127"/>
    <n v="97"/>
    <n v="70"/>
    <n v="154"/>
    <n v="21"/>
    <x v="4"/>
    <n v="3234"/>
    <n v="204"/>
    <n v="0.34313725490196079"/>
    <x v="1"/>
    <n v="3234"/>
  </r>
  <r>
    <s v="P009"/>
    <x v="31"/>
    <x v="0"/>
    <n v="56"/>
    <n v="100"/>
    <n v="91"/>
    <n v="65"/>
    <n v="72"/>
    <x v="3"/>
    <n v="4680"/>
    <n v="88.5"/>
    <n v="1.0282485875706215"/>
    <x v="0"/>
    <n v="4680"/>
  </r>
  <r>
    <s v="P005"/>
    <x v="11"/>
    <x v="2"/>
    <n v="64"/>
    <n v="122"/>
    <n v="137"/>
    <n v="49"/>
    <n v="40"/>
    <x v="0"/>
    <n v="1960"/>
    <n v="88.5"/>
    <n v="1.5480225988700564"/>
    <x v="2"/>
    <n v="1960"/>
  </r>
  <r>
    <s v="P025"/>
    <x v="26"/>
    <x v="0"/>
    <n v="176"/>
    <n v="23"/>
    <n v="172"/>
    <n v="27"/>
    <n v="113"/>
    <x v="2"/>
    <n v="3051"/>
    <n v="189.5"/>
    <n v="0.90765171503957787"/>
    <x v="2"/>
    <n v="3051"/>
  </r>
  <r>
    <s v="P021"/>
    <x v="24"/>
    <x v="2"/>
    <n v="104"/>
    <n v="93"/>
    <n v="96"/>
    <n v="101"/>
    <n v="43"/>
    <x v="3"/>
    <n v="4343"/>
    <n v="154.5"/>
    <n v="0.62135922330097082"/>
    <x v="1"/>
    <n v="4343"/>
  </r>
  <r>
    <s v="P014"/>
    <x v="2"/>
    <x v="1"/>
    <n v="115"/>
    <n v="102"/>
    <n v="70"/>
    <n v="147"/>
    <n v="20"/>
    <x v="1"/>
    <n v="2940"/>
    <n v="188.5"/>
    <n v="0.3713527851458886"/>
    <x v="1"/>
    <n v="2940"/>
  </r>
  <r>
    <s v="P031"/>
    <x v="18"/>
    <x v="4"/>
    <n v="137"/>
    <n v="104"/>
    <n v="149"/>
    <n v="92"/>
    <n v="72"/>
    <x v="4"/>
    <n v="6624"/>
    <n v="183"/>
    <n v="0.81420765027322406"/>
    <x v="0"/>
    <n v="6624"/>
  </r>
  <r>
    <s v="P039"/>
    <x v="17"/>
    <x v="0"/>
    <n v="183"/>
    <n v="30"/>
    <n v="62"/>
    <n v="151"/>
    <n v="118"/>
    <x v="3"/>
    <n v="17818"/>
    <n v="258.5"/>
    <n v="0.23984526112185686"/>
    <x v="1"/>
    <n v="17818"/>
  </r>
  <r>
    <s v="P024"/>
    <x v="32"/>
    <x v="3"/>
    <n v="185"/>
    <n v="60"/>
    <n v="173"/>
    <n v="72"/>
    <n v="88"/>
    <x v="2"/>
    <n v="6336"/>
    <n v="221"/>
    <n v="0.78280542986425339"/>
    <x v="0"/>
    <n v="6336"/>
  </r>
  <r>
    <s v="P026"/>
    <x v="33"/>
    <x v="0"/>
    <n v="59"/>
    <n v="124"/>
    <n v="82"/>
    <n v="101"/>
    <n v="42"/>
    <x v="3"/>
    <n v="4242"/>
    <n v="109.5"/>
    <n v="0.74885844748858443"/>
    <x v="1"/>
    <n v="4242"/>
  </r>
  <r>
    <s v="P016"/>
    <x v="34"/>
    <x v="4"/>
    <n v="185"/>
    <n v="103"/>
    <n v="53"/>
    <n v="235"/>
    <n v="24"/>
    <x v="3"/>
    <n v="5640"/>
    <n v="302.5"/>
    <n v="0.17520661157024794"/>
    <x v="1"/>
    <n v="5640"/>
  </r>
  <r>
    <s v="P013"/>
    <x v="35"/>
    <x v="4"/>
    <n v="191"/>
    <n v="30"/>
    <n v="91"/>
    <n v="130"/>
    <n v="101"/>
    <x v="2"/>
    <n v="13130"/>
    <n v="256"/>
    <n v="0.35546875"/>
    <x v="1"/>
    <n v="13130"/>
  </r>
  <r>
    <s v="P031"/>
    <x v="18"/>
    <x v="4"/>
    <n v="80"/>
    <n v="20"/>
    <n v="178"/>
    <n v="-78"/>
    <n v="72"/>
    <x v="2"/>
    <n v="-5616"/>
    <n v="41"/>
    <n v="4.3414634146341466"/>
    <x v="2"/>
    <n v="-5616"/>
  </r>
  <r>
    <s v="P026"/>
    <x v="33"/>
    <x v="0"/>
    <n v="69"/>
    <n v="95"/>
    <n v="117"/>
    <n v="47"/>
    <n v="42"/>
    <x v="3"/>
    <n v="1974"/>
    <n v="92.5"/>
    <n v="1.2648648648648648"/>
    <x v="2"/>
    <n v="1974"/>
  </r>
  <r>
    <s v="P029"/>
    <x v="1"/>
    <x v="1"/>
    <n v="182"/>
    <n v="37"/>
    <n v="178"/>
    <n v="41"/>
    <n v="78"/>
    <x v="1"/>
    <n v="3198"/>
    <n v="202.5"/>
    <n v="0.87901234567901232"/>
    <x v="2"/>
    <n v="3198"/>
  </r>
  <r>
    <s v="P031"/>
    <x v="18"/>
    <x v="4"/>
    <n v="171"/>
    <n v="54"/>
    <n v="64"/>
    <n v="161"/>
    <n v="72"/>
    <x v="1"/>
    <n v="11592"/>
    <n v="251.5"/>
    <n v="0.25447316103379719"/>
    <x v="1"/>
    <n v="11592"/>
  </r>
  <r>
    <s v="P012"/>
    <x v="14"/>
    <x v="4"/>
    <n v="192"/>
    <n v="93"/>
    <n v="31"/>
    <n v="254"/>
    <n v="76"/>
    <x v="3"/>
    <n v="19304"/>
    <n v="319"/>
    <n v="9.7178683385579931E-2"/>
    <x v="1"/>
    <n v="19304"/>
  </r>
  <r>
    <s v="P012"/>
    <x v="14"/>
    <x v="4"/>
    <n v="187"/>
    <n v="127"/>
    <n v="37"/>
    <n v="277"/>
    <n v="76"/>
    <x v="0"/>
    <n v="21052"/>
    <n v="325.5"/>
    <n v="0.11367127496159754"/>
    <x v="1"/>
    <n v="21052"/>
  </r>
  <r>
    <s v="P040"/>
    <x v="6"/>
    <x v="0"/>
    <n v="139"/>
    <n v="71"/>
    <n v="42"/>
    <n v="168"/>
    <n v="63"/>
    <x v="0"/>
    <n v="10584"/>
    <n v="223"/>
    <n v="0.18834080717488788"/>
    <x v="1"/>
    <n v="10584"/>
  </r>
  <r>
    <s v="P001"/>
    <x v="27"/>
    <x v="1"/>
    <n v="72"/>
    <n v="60"/>
    <n v="171"/>
    <n v="-39"/>
    <n v="46"/>
    <x v="3"/>
    <n v="-1794"/>
    <n v="52.5"/>
    <n v="3.2571428571428571"/>
    <x v="2"/>
    <n v="-1794"/>
  </r>
  <r>
    <s v="P031"/>
    <x v="18"/>
    <x v="4"/>
    <n v="57"/>
    <n v="149"/>
    <n v="159"/>
    <n v="47"/>
    <n v="72"/>
    <x v="3"/>
    <n v="3384"/>
    <n v="80.5"/>
    <n v="1.9751552795031055"/>
    <x v="2"/>
    <n v="3384"/>
  </r>
  <r>
    <s v="P008"/>
    <x v="13"/>
    <x v="2"/>
    <n v="87"/>
    <n v="90"/>
    <n v="124"/>
    <n v="53"/>
    <n v="46"/>
    <x v="1"/>
    <n v="2438"/>
    <n v="113.5"/>
    <n v="1.0925110132158591"/>
    <x v="0"/>
    <n v="2438"/>
  </r>
  <r>
    <s v="P023"/>
    <x v="25"/>
    <x v="1"/>
    <n v="71"/>
    <n v="92"/>
    <n v="176"/>
    <n v="-13"/>
    <n v="11"/>
    <x v="1"/>
    <n v="-143"/>
    <n v="64.5"/>
    <n v="2.7286821705426356"/>
    <x v="2"/>
    <n v="-143"/>
  </r>
  <r>
    <s v="P001"/>
    <x v="27"/>
    <x v="1"/>
    <n v="151"/>
    <n v="51"/>
    <n v="67"/>
    <n v="135"/>
    <n v="46"/>
    <x v="2"/>
    <n v="6210"/>
    <n v="218.5"/>
    <n v="0.30663615560640733"/>
    <x v="1"/>
    <n v="6210"/>
  </r>
  <r>
    <s v="P008"/>
    <x v="13"/>
    <x v="2"/>
    <n v="93"/>
    <n v="137"/>
    <n v="58"/>
    <n v="172"/>
    <n v="46"/>
    <x v="3"/>
    <n v="7912"/>
    <n v="179"/>
    <n v="0.32402234636871508"/>
    <x v="1"/>
    <n v="7912"/>
  </r>
  <r>
    <s v="P001"/>
    <x v="27"/>
    <x v="1"/>
    <n v="180"/>
    <n v="38"/>
    <n v="90"/>
    <n v="128"/>
    <n v="46"/>
    <x v="1"/>
    <n v="5888"/>
    <n v="244"/>
    <n v="0.36885245901639346"/>
    <x v="1"/>
    <n v="5888"/>
  </r>
  <r>
    <s v="P037"/>
    <x v="7"/>
    <x v="1"/>
    <n v="185"/>
    <n v="32"/>
    <n v="151"/>
    <n v="66"/>
    <n v="105"/>
    <x v="3"/>
    <n v="6930"/>
    <n v="218"/>
    <n v="0.69266055045871555"/>
    <x v="0"/>
    <n v="6930"/>
  </r>
  <r>
    <s v="P018"/>
    <x v="36"/>
    <x v="1"/>
    <n v="96"/>
    <n v="72"/>
    <n v="52"/>
    <n v="116"/>
    <n v="93"/>
    <x v="4"/>
    <n v="10788"/>
    <n v="154"/>
    <n v="0.33766233766233766"/>
    <x v="1"/>
    <n v="10788"/>
  </r>
  <r>
    <s v="P019"/>
    <x v="30"/>
    <x v="3"/>
    <n v="136"/>
    <n v="112"/>
    <n v="175"/>
    <n v="73"/>
    <n v="21"/>
    <x v="3"/>
    <n v="1533"/>
    <n v="172.5"/>
    <n v="1.0144927536231885"/>
    <x v="0"/>
    <n v="1533"/>
  </r>
  <r>
    <s v="P025"/>
    <x v="26"/>
    <x v="0"/>
    <n v="126"/>
    <n v="68"/>
    <n v="81"/>
    <n v="113"/>
    <n v="113"/>
    <x v="3"/>
    <n v="12769"/>
    <n v="182.5"/>
    <n v="0.44383561643835617"/>
    <x v="1"/>
    <n v="12769"/>
  </r>
  <r>
    <s v="P025"/>
    <x v="26"/>
    <x v="0"/>
    <n v="98"/>
    <n v="63"/>
    <n v="162"/>
    <n v="-1"/>
    <n v="113"/>
    <x v="1"/>
    <n v="-113"/>
    <n v="97.5"/>
    <n v="1.6615384615384616"/>
    <x v="2"/>
    <n v="-113"/>
  </r>
  <r>
    <s v="P033"/>
    <x v="9"/>
    <x v="4"/>
    <n v="137"/>
    <n v="37"/>
    <n v="92"/>
    <n v="82"/>
    <n v="13"/>
    <x v="4"/>
    <n v="1066"/>
    <n v="178"/>
    <n v="0.5168539325842697"/>
    <x v="0"/>
    <n v="1066"/>
  </r>
  <r>
    <s v="P021"/>
    <x v="24"/>
    <x v="2"/>
    <n v="156"/>
    <n v="82"/>
    <n v="105"/>
    <n v="133"/>
    <n v="43"/>
    <x v="1"/>
    <n v="5719"/>
    <n v="222.5"/>
    <n v="0.47191011235955055"/>
    <x v="1"/>
    <n v="5719"/>
  </r>
  <r>
    <s v="P022"/>
    <x v="28"/>
    <x v="0"/>
    <n v="156"/>
    <n v="43"/>
    <n v="170"/>
    <n v="29"/>
    <n v="61"/>
    <x v="3"/>
    <n v="1769"/>
    <n v="170.5"/>
    <n v="0.99706744868035191"/>
    <x v="2"/>
    <n v="1769"/>
  </r>
  <r>
    <s v="P039"/>
    <x v="17"/>
    <x v="0"/>
    <n v="157"/>
    <n v="138"/>
    <n v="175"/>
    <n v="120"/>
    <n v="118"/>
    <x v="3"/>
    <n v="14160"/>
    <n v="217"/>
    <n v="0.80645161290322576"/>
    <x v="1"/>
    <n v="14160"/>
  </r>
  <r>
    <s v="P031"/>
    <x v="18"/>
    <x v="4"/>
    <n v="157"/>
    <n v="123"/>
    <n v="115"/>
    <n v="165"/>
    <n v="72"/>
    <x v="4"/>
    <n v="11880"/>
    <n v="239.5"/>
    <n v="0.4801670146137787"/>
    <x v="1"/>
    <n v="11880"/>
  </r>
  <r>
    <s v="P016"/>
    <x v="34"/>
    <x v="4"/>
    <n v="136"/>
    <n v="91"/>
    <n v="70"/>
    <n v="157"/>
    <n v="24"/>
    <x v="2"/>
    <n v="3768"/>
    <n v="214.5"/>
    <n v="0.32634032634032634"/>
    <x v="1"/>
    <n v="3768"/>
  </r>
  <r>
    <s v="P030"/>
    <x v="20"/>
    <x v="4"/>
    <n v="99"/>
    <n v="76"/>
    <n v="174"/>
    <n v="1"/>
    <n v="55"/>
    <x v="3"/>
    <n v="55"/>
    <n v="99.5"/>
    <n v="1.7487437185929648"/>
    <x v="2"/>
    <n v="55"/>
  </r>
  <r>
    <s v="P002"/>
    <x v="16"/>
    <x v="2"/>
    <n v="166"/>
    <n v="77"/>
    <n v="51"/>
    <n v="192"/>
    <n v="96"/>
    <x v="2"/>
    <n v="18432"/>
    <n v="262"/>
    <n v="0.19465648854961831"/>
    <x v="1"/>
    <n v="18432"/>
  </r>
  <r>
    <s v="P013"/>
    <x v="35"/>
    <x v="4"/>
    <n v="56"/>
    <n v="130"/>
    <n v="130"/>
    <n v="56"/>
    <n v="101"/>
    <x v="2"/>
    <n v="5656"/>
    <n v="84"/>
    <n v="1.5476190476190477"/>
    <x v="0"/>
    <n v="5656"/>
  </r>
  <r>
    <s v="P023"/>
    <x v="25"/>
    <x v="1"/>
    <n v="116"/>
    <n v="119"/>
    <n v="174"/>
    <n v="61"/>
    <n v="11"/>
    <x v="2"/>
    <n v="671"/>
    <n v="146.5"/>
    <n v="1.1877133105802047"/>
    <x v="0"/>
    <n v="671"/>
  </r>
  <r>
    <s v="P002"/>
    <x v="16"/>
    <x v="2"/>
    <n v="70"/>
    <n v="80"/>
    <n v="62"/>
    <n v="88"/>
    <n v="96"/>
    <x v="4"/>
    <n v="8448"/>
    <n v="114"/>
    <n v="0.54385964912280704"/>
    <x v="0"/>
    <n v="8448"/>
  </r>
  <r>
    <s v="P024"/>
    <x v="32"/>
    <x v="3"/>
    <n v="176"/>
    <n v="128"/>
    <n v="114"/>
    <n v="190"/>
    <n v="88"/>
    <x v="4"/>
    <n v="16720"/>
    <n v="271"/>
    <n v="0.42066420664206644"/>
    <x v="1"/>
    <n v="16720"/>
  </r>
  <r>
    <s v="P037"/>
    <x v="7"/>
    <x v="1"/>
    <n v="126"/>
    <n v="51"/>
    <n v="51"/>
    <n v="126"/>
    <n v="105"/>
    <x v="1"/>
    <n v="13230"/>
    <n v="189"/>
    <n v="0.26984126984126983"/>
    <x v="1"/>
    <n v="13230"/>
  </r>
  <r>
    <s v="P034"/>
    <x v="37"/>
    <x v="4"/>
    <n v="136"/>
    <n v="39"/>
    <n v="141"/>
    <n v="34"/>
    <n v="96"/>
    <x v="1"/>
    <n v="3264"/>
    <n v="153"/>
    <n v="0.92156862745098034"/>
    <x v="2"/>
    <n v="3264"/>
  </r>
  <r>
    <s v="P005"/>
    <x v="11"/>
    <x v="2"/>
    <n v="157"/>
    <n v="29"/>
    <n v="149"/>
    <n v="37"/>
    <n v="40"/>
    <x v="2"/>
    <n v="1480"/>
    <n v="175.5"/>
    <n v="0.84900284900284906"/>
    <x v="2"/>
    <n v="1480"/>
  </r>
  <r>
    <s v="P018"/>
    <x v="36"/>
    <x v="1"/>
    <n v="102"/>
    <n v="149"/>
    <n v="168"/>
    <n v="83"/>
    <n v="93"/>
    <x v="0"/>
    <n v="7719"/>
    <n v="143.5"/>
    <n v="1.1707317073170731"/>
    <x v="0"/>
    <n v="7719"/>
  </r>
  <r>
    <s v="P038"/>
    <x v="3"/>
    <x v="2"/>
    <n v="169"/>
    <n v="32"/>
    <n v="74"/>
    <n v="127"/>
    <n v="63"/>
    <x v="2"/>
    <n v="8001"/>
    <n v="232.5"/>
    <n v="0.31827956989247314"/>
    <x v="1"/>
    <n v="8001"/>
  </r>
  <r>
    <s v="P001"/>
    <x v="27"/>
    <x v="1"/>
    <n v="84"/>
    <n v="52"/>
    <n v="55"/>
    <n v="81"/>
    <n v="46"/>
    <x v="3"/>
    <n v="3726"/>
    <n v="124.5"/>
    <n v="0.44176706827309237"/>
    <x v="0"/>
    <n v="3726"/>
  </r>
  <r>
    <s v="P019"/>
    <x v="30"/>
    <x v="3"/>
    <n v="150"/>
    <n v="22"/>
    <n v="114"/>
    <n v="58"/>
    <n v="21"/>
    <x v="1"/>
    <n v="1218"/>
    <n v="179"/>
    <n v="0.63687150837988826"/>
    <x v="0"/>
    <n v="1218"/>
  </r>
  <r>
    <s v="P012"/>
    <x v="14"/>
    <x v="4"/>
    <n v="55"/>
    <n v="61"/>
    <n v="41"/>
    <n v="75"/>
    <n v="76"/>
    <x v="2"/>
    <n v="5700"/>
    <n v="92.5"/>
    <n v="0.44324324324324327"/>
    <x v="0"/>
    <n v="5700"/>
  </r>
  <r>
    <s v="P015"/>
    <x v="38"/>
    <x v="0"/>
    <n v="131"/>
    <n v="67"/>
    <n v="30"/>
    <n v="168"/>
    <n v="63"/>
    <x v="3"/>
    <n v="10584"/>
    <n v="215"/>
    <n v="0.13953488372093023"/>
    <x v="1"/>
    <n v="10584"/>
  </r>
  <r>
    <s v="P026"/>
    <x v="33"/>
    <x v="0"/>
    <n v="89"/>
    <n v="110"/>
    <n v="135"/>
    <n v="64"/>
    <n v="42"/>
    <x v="0"/>
    <n v="2688"/>
    <n v="121"/>
    <n v="1.115702479338843"/>
    <x v="0"/>
    <n v="2688"/>
  </r>
  <r>
    <s v="P002"/>
    <x v="16"/>
    <x v="2"/>
    <n v="104"/>
    <n v="44"/>
    <n v="144"/>
    <n v="4"/>
    <n v="96"/>
    <x v="4"/>
    <n v="384"/>
    <n v="106"/>
    <n v="1.3584905660377358"/>
    <x v="2"/>
    <n v="384"/>
  </r>
  <r>
    <s v="P022"/>
    <x v="28"/>
    <x v="0"/>
    <n v="175"/>
    <n v="34"/>
    <n v="146"/>
    <n v="63"/>
    <n v="61"/>
    <x v="0"/>
    <n v="3843"/>
    <n v="206.5"/>
    <n v="0.70702179176755453"/>
    <x v="0"/>
    <n v="3843"/>
  </r>
  <r>
    <s v="P024"/>
    <x v="32"/>
    <x v="3"/>
    <n v="155"/>
    <n v="20"/>
    <n v="73"/>
    <n v="102"/>
    <n v="88"/>
    <x v="4"/>
    <n v="8976"/>
    <n v="206"/>
    <n v="0.35436893203883496"/>
    <x v="1"/>
    <n v="8976"/>
  </r>
  <r>
    <s v="P036"/>
    <x v="23"/>
    <x v="4"/>
    <n v="55"/>
    <n v="48"/>
    <n v="160"/>
    <n v="-57"/>
    <n v="69"/>
    <x v="2"/>
    <n v="-3933"/>
    <n v="26.5"/>
    <n v="6.0377358490566042"/>
    <x v="2"/>
    <n v="-3933"/>
  </r>
  <r>
    <s v="P013"/>
    <x v="35"/>
    <x v="4"/>
    <n v="163"/>
    <n v="85"/>
    <n v="106"/>
    <n v="142"/>
    <n v="101"/>
    <x v="0"/>
    <n v="14342"/>
    <n v="234"/>
    <n v="0.45299145299145299"/>
    <x v="1"/>
    <n v="14342"/>
  </r>
  <r>
    <s v="P030"/>
    <x v="20"/>
    <x v="4"/>
    <n v="51"/>
    <n v="70"/>
    <n v="112"/>
    <n v="9"/>
    <n v="55"/>
    <x v="1"/>
    <n v="495"/>
    <n v="55.5"/>
    <n v="2.0180180180180178"/>
    <x v="2"/>
    <n v="495"/>
  </r>
  <r>
    <s v="P029"/>
    <x v="1"/>
    <x v="1"/>
    <n v="144"/>
    <n v="32"/>
    <n v="71"/>
    <n v="105"/>
    <n v="78"/>
    <x v="1"/>
    <n v="8190"/>
    <n v="196.5"/>
    <n v="0.361323155216285"/>
    <x v="1"/>
    <n v="8190"/>
  </r>
  <r>
    <s v="P014"/>
    <x v="2"/>
    <x v="1"/>
    <n v="99"/>
    <n v="82"/>
    <n v="154"/>
    <n v="27"/>
    <n v="20"/>
    <x v="4"/>
    <n v="540"/>
    <n v="112.5"/>
    <n v="1.3688888888888888"/>
    <x v="2"/>
    <n v="540"/>
  </r>
  <r>
    <s v="P009"/>
    <x v="31"/>
    <x v="0"/>
    <n v="143"/>
    <n v="51"/>
    <n v="170"/>
    <n v="24"/>
    <n v="72"/>
    <x v="3"/>
    <n v="1728"/>
    <n v="155"/>
    <n v="1.096774193548387"/>
    <x v="2"/>
    <n v="1728"/>
  </r>
  <r>
    <s v="P026"/>
    <x v="33"/>
    <x v="0"/>
    <n v="64"/>
    <n v="67"/>
    <n v="173"/>
    <n v="-42"/>
    <n v="42"/>
    <x v="2"/>
    <n v="-1764"/>
    <n v="43"/>
    <n v="4.0232558139534884"/>
    <x v="2"/>
    <n v="-1764"/>
  </r>
  <r>
    <s v="P017"/>
    <x v="21"/>
    <x v="4"/>
    <n v="136"/>
    <n v="38"/>
    <n v="121"/>
    <n v="53"/>
    <n v="98"/>
    <x v="4"/>
    <n v="5194"/>
    <n v="162.5"/>
    <n v="0.74461538461538457"/>
    <x v="0"/>
    <n v="5194"/>
  </r>
  <r>
    <s v="P012"/>
    <x v="14"/>
    <x v="4"/>
    <n v="115"/>
    <n v="74"/>
    <n v="105"/>
    <n v="84"/>
    <n v="76"/>
    <x v="4"/>
    <n v="6384"/>
    <n v="157"/>
    <n v="0.66878980891719741"/>
    <x v="0"/>
    <n v="6384"/>
  </r>
  <r>
    <s v="P005"/>
    <x v="11"/>
    <x v="2"/>
    <n v="179"/>
    <n v="47"/>
    <n v="148"/>
    <n v="78"/>
    <n v="40"/>
    <x v="0"/>
    <n v="3120"/>
    <n v="218"/>
    <n v="0.67889908256880738"/>
    <x v="0"/>
    <n v="3120"/>
  </r>
  <r>
    <s v="P034"/>
    <x v="37"/>
    <x v="4"/>
    <n v="177"/>
    <n v="148"/>
    <n v="86"/>
    <n v="239"/>
    <n v="96"/>
    <x v="2"/>
    <n v="22944"/>
    <n v="296.5"/>
    <n v="0.2900505902192243"/>
    <x v="1"/>
    <n v="22944"/>
  </r>
  <r>
    <s v="P020"/>
    <x v="19"/>
    <x v="1"/>
    <n v="175"/>
    <n v="31"/>
    <n v="95"/>
    <n v="111"/>
    <n v="10"/>
    <x v="3"/>
    <n v="1110"/>
    <n v="230.5"/>
    <n v="0.4121475054229935"/>
    <x v="1"/>
    <n v="1110"/>
  </r>
  <r>
    <s v="P018"/>
    <x v="36"/>
    <x v="1"/>
    <n v="59"/>
    <n v="114"/>
    <n v="106"/>
    <n v="67"/>
    <n v="93"/>
    <x v="2"/>
    <n v="6231"/>
    <n v="92.5"/>
    <n v="1.145945945945946"/>
    <x v="0"/>
    <n v="6231"/>
  </r>
  <r>
    <s v="P027"/>
    <x v="8"/>
    <x v="3"/>
    <n v="58"/>
    <n v="83"/>
    <n v="82"/>
    <n v="59"/>
    <n v="92"/>
    <x v="1"/>
    <n v="5428"/>
    <n v="87.5"/>
    <n v="0.93714285714285717"/>
    <x v="0"/>
    <n v="5428"/>
  </r>
  <r>
    <s v="P019"/>
    <x v="30"/>
    <x v="3"/>
    <n v="157"/>
    <n v="149"/>
    <n v="48"/>
    <n v="258"/>
    <n v="21"/>
    <x v="2"/>
    <n v="5418"/>
    <n v="286"/>
    <n v="0.16783216783216784"/>
    <x v="1"/>
    <n v="5418"/>
  </r>
  <r>
    <s v="P001"/>
    <x v="27"/>
    <x v="1"/>
    <n v="164"/>
    <n v="70"/>
    <n v="166"/>
    <n v="68"/>
    <n v="46"/>
    <x v="0"/>
    <n v="3128"/>
    <n v="198"/>
    <n v="0.83838383838383834"/>
    <x v="0"/>
    <n v="3128"/>
  </r>
  <r>
    <s v="P022"/>
    <x v="28"/>
    <x v="0"/>
    <n v="83"/>
    <n v="59"/>
    <n v="158"/>
    <n v="-16"/>
    <n v="61"/>
    <x v="0"/>
    <n v="-976"/>
    <n v="75"/>
    <n v="2.1066666666666665"/>
    <x v="2"/>
    <n v="-976"/>
  </r>
  <r>
    <s v="P033"/>
    <x v="9"/>
    <x v="4"/>
    <n v="143"/>
    <n v="144"/>
    <n v="73"/>
    <n v="214"/>
    <n v="13"/>
    <x v="2"/>
    <n v="2782"/>
    <n v="250"/>
    <n v="0.29199999999999998"/>
    <x v="1"/>
    <n v="2782"/>
  </r>
  <r>
    <s v="P031"/>
    <x v="18"/>
    <x v="4"/>
    <n v="103"/>
    <n v="74"/>
    <n v="167"/>
    <n v="10"/>
    <n v="72"/>
    <x v="0"/>
    <n v="720"/>
    <n v="108"/>
    <n v="1.5462962962962963"/>
    <x v="2"/>
    <n v="720"/>
  </r>
  <r>
    <s v="P006"/>
    <x v="0"/>
    <x v="0"/>
    <n v="181"/>
    <n v="21"/>
    <n v="128"/>
    <n v="74"/>
    <n v="42"/>
    <x v="1"/>
    <n v="3108"/>
    <n v="218"/>
    <n v="0.58715596330275233"/>
    <x v="0"/>
    <n v="3108"/>
  </r>
  <r>
    <s v="P020"/>
    <x v="19"/>
    <x v="1"/>
    <n v="164"/>
    <n v="90"/>
    <n v="70"/>
    <n v="184"/>
    <n v="10"/>
    <x v="1"/>
    <n v="1840"/>
    <n v="256"/>
    <n v="0.2734375"/>
    <x v="1"/>
    <n v="1840"/>
  </r>
  <r>
    <s v="P019"/>
    <x v="30"/>
    <x v="3"/>
    <n v="106"/>
    <n v="22"/>
    <n v="145"/>
    <n v="-17"/>
    <n v="21"/>
    <x v="1"/>
    <n v="-357"/>
    <n v="97.5"/>
    <n v="1.4871794871794872"/>
    <x v="2"/>
    <n v="-357"/>
  </r>
  <r>
    <s v="P011"/>
    <x v="39"/>
    <x v="3"/>
    <n v="129"/>
    <n v="45"/>
    <n v="177"/>
    <n v="-3"/>
    <n v="59"/>
    <x v="3"/>
    <n v="-177"/>
    <n v="127.5"/>
    <n v="1.388235294117647"/>
    <x v="2"/>
    <n v="-177"/>
  </r>
  <r>
    <s v="P035"/>
    <x v="15"/>
    <x v="4"/>
    <n v="111"/>
    <n v="95"/>
    <n v="107"/>
    <n v="99"/>
    <n v="106"/>
    <x v="1"/>
    <n v="10494"/>
    <n v="160.5"/>
    <n v="0.66666666666666663"/>
    <x v="0"/>
    <n v="10494"/>
  </r>
  <r>
    <s v="P024"/>
    <x v="32"/>
    <x v="3"/>
    <n v="70"/>
    <n v="75"/>
    <n v="58"/>
    <n v="87"/>
    <n v="88"/>
    <x v="0"/>
    <n v="7656"/>
    <n v="113.5"/>
    <n v="0.51101321585903081"/>
    <x v="0"/>
    <n v="7656"/>
  </r>
  <r>
    <s v="P032"/>
    <x v="5"/>
    <x v="2"/>
    <n v="82"/>
    <n v="109"/>
    <n v="119"/>
    <n v="72"/>
    <n v="85"/>
    <x v="0"/>
    <n v="6120"/>
    <n v="118"/>
    <n v="1.0084745762711864"/>
    <x v="0"/>
    <n v="6120"/>
  </r>
  <r>
    <s v="P012"/>
    <x v="14"/>
    <x v="4"/>
    <n v="67"/>
    <n v="23"/>
    <n v="165"/>
    <n v="-75"/>
    <n v="76"/>
    <x v="4"/>
    <n v="-5700"/>
    <n v="29.5"/>
    <n v="5.593220338983051"/>
    <x v="2"/>
    <n v="-5700"/>
  </r>
  <r>
    <s v="P011"/>
    <x v="39"/>
    <x v="3"/>
    <n v="72"/>
    <n v="52"/>
    <n v="74"/>
    <n v="50"/>
    <n v="59"/>
    <x v="4"/>
    <n v="2950"/>
    <n v="97"/>
    <n v="0.76288659793814428"/>
    <x v="0"/>
    <n v="2950"/>
  </r>
  <r>
    <s v="P008"/>
    <x v="13"/>
    <x v="2"/>
    <n v="67"/>
    <n v="119"/>
    <n v="176"/>
    <n v="10"/>
    <n v="46"/>
    <x v="3"/>
    <n v="460"/>
    <n v="72"/>
    <n v="2.4444444444444446"/>
    <x v="2"/>
    <n v="460"/>
  </r>
  <r>
    <s v="P004"/>
    <x v="29"/>
    <x v="3"/>
    <n v="187"/>
    <n v="49"/>
    <n v="85"/>
    <n v="151"/>
    <n v="75"/>
    <x v="4"/>
    <n v="11325"/>
    <n v="262.5"/>
    <n v="0.32380952380952382"/>
    <x v="1"/>
    <n v="11325"/>
  </r>
  <r>
    <s v="P029"/>
    <x v="1"/>
    <x v="1"/>
    <n v="188"/>
    <n v="35"/>
    <n v="57"/>
    <n v="166"/>
    <n v="78"/>
    <x v="4"/>
    <n v="12948"/>
    <n v="271"/>
    <n v="0.21033210332103322"/>
    <x v="1"/>
    <n v="12948"/>
  </r>
  <r>
    <s v="P022"/>
    <x v="28"/>
    <x v="0"/>
    <n v="115"/>
    <n v="72"/>
    <n v="59"/>
    <n v="128"/>
    <n v="61"/>
    <x v="2"/>
    <n v="7808"/>
    <n v="179"/>
    <n v="0.32960893854748602"/>
    <x v="1"/>
    <n v="7808"/>
  </r>
  <r>
    <s v="P002"/>
    <x v="16"/>
    <x v="2"/>
    <n v="156"/>
    <n v="62"/>
    <n v="131"/>
    <n v="87"/>
    <n v="96"/>
    <x v="4"/>
    <n v="8352"/>
    <n v="199.5"/>
    <n v="0.65664160401002503"/>
    <x v="0"/>
    <n v="8352"/>
  </r>
  <r>
    <s v="P029"/>
    <x v="1"/>
    <x v="1"/>
    <n v="51"/>
    <n v="70"/>
    <n v="84"/>
    <n v="37"/>
    <n v="78"/>
    <x v="1"/>
    <n v="2886"/>
    <n v="69.5"/>
    <n v="1.2086330935251799"/>
    <x v="2"/>
    <n v="2886"/>
  </r>
  <r>
    <s v="P004"/>
    <x v="29"/>
    <x v="3"/>
    <n v="53"/>
    <n v="73"/>
    <n v="36"/>
    <n v="90"/>
    <n v="75"/>
    <x v="3"/>
    <n v="6750"/>
    <n v="98"/>
    <n v="0.36734693877551022"/>
    <x v="0"/>
    <n v="6750"/>
  </r>
  <r>
    <s v="P039"/>
    <x v="17"/>
    <x v="0"/>
    <n v="66"/>
    <n v="129"/>
    <n v="157"/>
    <n v="38"/>
    <n v="118"/>
    <x v="0"/>
    <n v="4484"/>
    <n v="85"/>
    <n v="1.8470588235294119"/>
    <x v="2"/>
    <n v="4484"/>
  </r>
  <r>
    <s v="P033"/>
    <x v="9"/>
    <x v="4"/>
    <n v="185"/>
    <n v="106"/>
    <n v="44"/>
    <n v="247"/>
    <n v="13"/>
    <x v="2"/>
    <n v="3211"/>
    <n v="308.5"/>
    <n v="0.14262560777957861"/>
    <x v="1"/>
    <n v="3211"/>
  </r>
  <r>
    <s v="P026"/>
    <x v="33"/>
    <x v="0"/>
    <n v="82"/>
    <n v="32"/>
    <n v="58"/>
    <n v="56"/>
    <n v="42"/>
    <x v="2"/>
    <n v="2352"/>
    <n v="110"/>
    <n v="0.52727272727272723"/>
    <x v="0"/>
    <n v="2352"/>
  </r>
  <r>
    <s v="P020"/>
    <x v="19"/>
    <x v="1"/>
    <n v="191"/>
    <n v="58"/>
    <n v="55"/>
    <n v="194"/>
    <n v="10"/>
    <x v="1"/>
    <n v="1940"/>
    <n v="288"/>
    <n v="0.19097222222222221"/>
    <x v="1"/>
    <n v="1940"/>
  </r>
  <r>
    <s v="P028"/>
    <x v="12"/>
    <x v="3"/>
    <n v="121"/>
    <n v="41"/>
    <n v="153"/>
    <n v="9"/>
    <n v="54"/>
    <x v="2"/>
    <n v="486"/>
    <n v="125.5"/>
    <n v="1.2191235059760956"/>
    <x v="2"/>
    <n v="486"/>
  </r>
  <r>
    <s v="P035"/>
    <x v="15"/>
    <x v="4"/>
    <n v="169"/>
    <n v="82"/>
    <n v="174"/>
    <n v="77"/>
    <n v="106"/>
    <x v="1"/>
    <n v="8162"/>
    <n v="207.5"/>
    <n v="0.83855421686746989"/>
    <x v="0"/>
    <n v="8162"/>
  </r>
  <r>
    <s v="P022"/>
    <x v="28"/>
    <x v="0"/>
    <n v="78"/>
    <n v="102"/>
    <n v="120"/>
    <n v="60"/>
    <n v="61"/>
    <x v="1"/>
    <n v="3660"/>
    <n v="108"/>
    <n v="1.1111111111111112"/>
    <x v="0"/>
    <n v="3660"/>
  </r>
  <r>
    <s v="P026"/>
    <x v="33"/>
    <x v="0"/>
    <n v="142"/>
    <n v="145"/>
    <n v="130"/>
    <n v="157"/>
    <n v="42"/>
    <x v="2"/>
    <n v="6594"/>
    <n v="220.5"/>
    <n v="0.58956916099773238"/>
    <x v="1"/>
    <n v="6594"/>
  </r>
  <r>
    <s v="P015"/>
    <x v="38"/>
    <x v="0"/>
    <n v="199"/>
    <n v="95"/>
    <n v="140"/>
    <n v="154"/>
    <n v="63"/>
    <x v="4"/>
    <n v="9702"/>
    <n v="276"/>
    <n v="0.50724637681159424"/>
    <x v="1"/>
    <n v="9702"/>
  </r>
  <r>
    <s v="P002"/>
    <x v="16"/>
    <x v="2"/>
    <n v="103"/>
    <n v="101"/>
    <n v="173"/>
    <n v="31"/>
    <n v="96"/>
    <x v="4"/>
    <n v="2976"/>
    <n v="118.5"/>
    <n v="1.4599156118143459"/>
    <x v="2"/>
    <n v="2976"/>
  </r>
  <r>
    <s v="P010"/>
    <x v="10"/>
    <x v="3"/>
    <n v="195"/>
    <n v="122"/>
    <n v="114"/>
    <n v="203"/>
    <n v="94"/>
    <x v="3"/>
    <n v="19082"/>
    <n v="296.5"/>
    <n v="0.38448566610455309"/>
    <x v="1"/>
    <n v="19082"/>
  </r>
  <r>
    <s v="P033"/>
    <x v="9"/>
    <x v="4"/>
    <n v="114"/>
    <n v="121"/>
    <n v="146"/>
    <n v="89"/>
    <n v="13"/>
    <x v="3"/>
    <n v="1157"/>
    <n v="158.5"/>
    <n v="0.92113564668769721"/>
    <x v="0"/>
    <n v="1157"/>
  </r>
  <r>
    <s v="P009"/>
    <x v="31"/>
    <x v="0"/>
    <n v="187"/>
    <n v="102"/>
    <n v="147"/>
    <n v="142"/>
    <n v="72"/>
    <x v="1"/>
    <n v="10224"/>
    <n v="258"/>
    <n v="0.56976744186046513"/>
    <x v="1"/>
    <n v="10224"/>
  </r>
  <r>
    <s v="P018"/>
    <x v="36"/>
    <x v="1"/>
    <n v="164"/>
    <n v="96"/>
    <n v="146"/>
    <n v="114"/>
    <n v="93"/>
    <x v="3"/>
    <n v="10602"/>
    <n v="221"/>
    <n v="0.66063348416289591"/>
    <x v="1"/>
    <n v="10602"/>
  </r>
  <r>
    <s v="P027"/>
    <x v="8"/>
    <x v="3"/>
    <n v="174"/>
    <n v="144"/>
    <n v="107"/>
    <n v="211"/>
    <n v="92"/>
    <x v="4"/>
    <n v="19412"/>
    <n v="279.5"/>
    <n v="0.38282647584973167"/>
    <x v="1"/>
    <n v="19412"/>
  </r>
  <r>
    <s v="P002"/>
    <x v="16"/>
    <x v="2"/>
    <n v="177"/>
    <n v="43"/>
    <n v="111"/>
    <n v="109"/>
    <n v="96"/>
    <x v="3"/>
    <n v="10464"/>
    <n v="231.5"/>
    <n v="0.4794816414686825"/>
    <x v="1"/>
    <n v="10464"/>
  </r>
  <r>
    <s v="P033"/>
    <x v="9"/>
    <x v="4"/>
    <n v="66"/>
    <n v="117"/>
    <n v="53"/>
    <n v="130"/>
    <n v="13"/>
    <x v="1"/>
    <n v="1690"/>
    <n v="131"/>
    <n v="0.40458015267175573"/>
    <x v="1"/>
    <n v="1690"/>
  </r>
  <r>
    <s v="P021"/>
    <x v="24"/>
    <x v="2"/>
    <n v="123"/>
    <n v="36"/>
    <n v="93"/>
    <n v="66"/>
    <n v="43"/>
    <x v="2"/>
    <n v="2838"/>
    <n v="156"/>
    <n v="0.59615384615384615"/>
    <x v="0"/>
    <n v="2838"/>
  </r>
  <r>
    <s v="P015"/>
    <x v="38"/>
    <x v="0"/>
    <n v="114"/>
    <n v="143"/>
    <n v="120"/>
    <n v="137"/>
    <n v="63"/>
    <x v="4"/>
    <n v="8631"/>
    <n v="182.5"/>
    <n v="0.65753424657534243"/>
    <x v="1"/>
    <n v="8631"/>
  </r>
  <r>
    <s v="P008"/>
    <x v="13"/>
    <x v="2"/>
    <n v="112"/>
    <n v="76"/>
    <n v="32"/>
    <n v="156"/>
    <n v="46"/>
    <x v="3"/>
    <n v="7176"/>
    <n v="190"/>
    <n v="0.16842105263157894"/>
    <x v="1"/>
    <n v="7176"/>
  </r>
  <r>
    <s v="P027"/>
    <x v="8"/>
    <x v="3"/>
    <n v="57"/>
    <n v="80"/>
    <n v="138"/>
    <n v="-1"/>
    <n v="92"/>
    <x v="4"/>
    <n v="-92"/>
    <n v="56.5"/>
    <n v="2.4424778761061945"/>
    <x v="2"/>
    <n v="-92"/>
  </r>
  <r>
    <s v="P032"/>
    <x v="5"/>
    <x v="2"/>
    <n v="174"/>
    <n v="146"/>
    <n v="92"/>
    <n v="228"/>
    <n v="85"/>
    <x v="1"/>
    <n v="19380"/>
    <n v="288"/>
    <n v="0.31944444444444442"/>
    <x v="1"/>
    <n v="19380"/>
  </r>
  <r>
    <s v="P006"/>
    <x v="0"/>
    <x v="0"/>
    <n v="53"/>
    <n v="73"/>
    <n v="152"/>
    <n v="-26"/>
    <n v="42"/>
    <x v="0"/>
    <n v="-1092"/>
    <n v="40"/>
    <n v="3.8"/>
    <x v="2"/>
    <n v="-1092"/>
  </r>
  <r>
    <s v="P030"/>
    <x v="20"/>
    <x v="4"/>
    <n v="193"/>
    <n v="139"/>
    <n v="131"/>
    <n v="201"/>
    <n v="55"/>
    <x v="3"/>
    <n v="11055"/>
    <n v="293.5"/>
    <n v="0.44633730834752983"/>
    <x v="1"/>
    <n v="11055"/>
  </r>
  <r>
    <s v="P033"/>
    <x v="9"/>
    <x v="4"/>
    <n v="85"/>
    <n v="87"/>
    <n v="95"/>
    <n v="77"/>
    <n v="13"/>
    <x v="2"/>
    <n v="1001"/>
    <n v="123.5"/>
    <n v="0.76923076923076927"/>
    <x v="0"/>
    <n v="1001"/>
  </r>
  <r>
    <s v="P027"/>
    <x v="8"/>
    <x v="3"/>
    <n v="54"/>
    <n v="59"/>
    <n v="72"/>
    <n v="41"/>
    <n v="92"/>
    <x v="0"/>
    <n v="3772"/>
    <n v="74.5"/>
    <n v="0.96644295302013428"/>
    <x v="2"/>
    <n v="3772"/>
  </r>
  <r>
    <s v="P032"/>
    <x v="5"/>
    <x v="2"/>
    <n v="183"/>
    <n v="55"/>
    <n v="41"/>
    <n v="197"/>
    <n v="85"/>
    <x v="3"/>
    <n v="16745"/>
    <n v="281.5"/>
    <n v="0.14564831261101244"/>
    <x v="1"/>
    <n v="16745"/>
  </r>
  <r>
    <s v="P037"/>
    <x v="7"/>
    <x v="1"/>
    <n v="128"/>
    <n v="122"/>
    <n v="90"/>
    <n v="160"/>
    <n v="105"/>
    <x v="1"/>
    <n v="16800"/>
    <n v="208"/>
    <n v="0.43269230769230771"/>
    <x v="1"/>
    <n v="16800"/>
  </r>
  <r>
    <s v="P035"/>
    <x v="15"/>
    <x v="4"/>
    <n v="63"/>
    <n v="33"/>
    <n v="30"/>
    <n v="66"/>
    <n v="106"/>
    <x v="0"/>
    <n v="6996"/>
    <n v="96"/>
    <n v="0.3125"/>
    <x v="0"/>
    <n v="6996"/>
  </r>
  <r>
    <s v="P001"/>
    <x v="27"/>
    <x v="1"/>
    <n v="85"/>
    <n v="134"/>
    <n v="98"/>
    <n v="121"/>
    <n v="46"/>
    <x v="1"/>
    <n v="5566"/>
    <n v="145.5"/>
    <n v="0.67353951890034369"/>
    <x v="1"/>
    <n v="5566"/>
  </r>
  <r>
    <s v="P035"/>
    <x v="15"/>
    <x v="4"/>
    <n v="176"/>
    <n v="39"/>
    <n v="88"/>
    <n v="127"/>
    <n v="106"/>
    <x v="3"/>
    <n v="13462"/>
    <n v="239.5"/>
    <n v="0.36743215031315241"/>
    <x v="1"/>
    <n v="13462"/>
  </r>
  <r>
    <s v="P014"/>
    <x v="2"/>
    <x v="1"/>
    <n v="58"/>
    <n v="86"/>
    <n v="175"/>
    <n v="-31"/>
    <n v="20"/>
    <x v="1"/>
    <n v="-620"/>
    <n v="42.5"/>
    <n v="4.117647058823529"/>
    <x v="2"/>
    <n v="-620"/>
  </r>
  <r>
    <s v="P003"/>
    <x v="4"/>
    <x v="3"/>
    <n v="162"/>
    <n v="141"/>
    <n v="147"/>
    <n v="156"/>
    <n v="66"/>
    <x v="3"/>
    <n v="10296"/>
    <n v="240"/>
    <n v="0.61250000000000004"/>
    <x v="1"/>
    <n v="10296"/>
  </r>
  <r>
    <s v="P022"/>
    <x v="28"/>
    <x v="0"/>
    <n v="73"/>
    <n v="122"/>
    <n v="157"/>
    <n v="38"/>
    <n v="61"/>
    <x v="0"/>
    <n v="2318"/>
    <n v="92"/>
    <n v="1.7065217391304348"/>
    <x v="2"/>
    <n v="2318"/>
  </r>
  <r>
    <s v="P009"/>
    <x v="31"/>
    <x v="0"/>
    <n v="197"/>
    <n v="67"/>
    <n v="160"/>
    <n v="104"/>
    <n v="72"/>
    <x v="1"/>
    <n v="7488"/>
    <n v="249"/>
    <n v="0.64257028112449799"/>
    <x v="1"/>
    <n v="7488"/>
  </r>
  <r>
    <s v="P027"/>
    <x v="8"/>
    <x v="3"/>
    <n v="176"/>
    <n v="72"/>
    <n v="120"/>
    <n v="128"/>
    <n v="92"/>
    <x v="4"/>
    <n v="11776"/>
    <n v="240"/>
    <n v="0.5"/>
    <x v="1"/>
    <n v="11776"/>
  </r>
  <r>
    <s v="P023"/>
    <x v="25"/>
    <x v="1"/>
    <n v="101"/>
    <n v="61"/>
    <n v="61"/>
    <n v="101"/>
    <n v="11"/>
    <x v="1"/>
    <n v="1111"/>
    <n v="151.5"/>
    <n v="0.40264026402640263"/>
    <x v="1"/>
    <n v="1111"/>
  </r>
  <r>
    <s v="P022"/>
    <x v="28"/>
    <x v="0"/>
    <n v="171"/>
    <n v="85"/>
    <n v="40"/>
    <n v="216"/>
    <n v="61"/>
    <x v="0"/>
    <n v="13176"/>
    <n v="279"/>
    <n v="0.14336917562724014"/>
    <x v="1"/>
    <n v="13176"/>
  </r>
  <r>
    <s v="P030"/>
    <x v="20"/>
    <x v="4"/>
    <n v="136"/>
    <n v="129"/>
    <n v="37"/>
    <n v="228"/>
    <n v="55"/>
    <x v="1"/>
    <n v="12540"/>
    <n v="250"/>
    <n v="0.14799999999999999"/>
    <x v="1"/>
    <n v="12540"/>
  </r>
  <r>
    <s v="P012"/>
    <x v="14"/>
    <x v="4"/>
    <n v="172"/>
    <n v="115"/>
    <n v="166"/>
    <n v="121"/>
    <n v="76"/>
    <x v="2"/>
    <n v="9196"/>
    <n v="232.5"/>
    <n v="0.71397849462365592"/>
    <x v="1"/>
    <n v="9196"/>
  </r>
  <r>
    <s v="P031"/>
    <x v="18"/>
    <x v="4"/>
    <n v="87"/>
    <n v="136"/>
    <n v="96"/>
    <n v="127"/>
    <n v="72"/>
    <x v="3"/>
    <n v="9144"/>
    <n v="150.5"/>
    <n v="0.63787375415282388"/>
    <x v="1"/>
    <n v="9144"/>
  </r>
  <r>
    <s v="P017"/>
    <x v="21"/>
    <x v="4"/>
    <n v="106"/>
    <n v="86"/>
    <n v="31"/>
    <n v="161"/>
    <n v="98"/>
    <x v="4"/>
    <n v="15778"/>
    <n v="186.5"/>
    <n v="0.16621983914209115"/>
    <x v="1"/>
    <n v="15778"/>
  </r>
  <r>
    <s v="P038"/>
    <x v="3"/>
    <x v="2"/>
    <n v="71"/>
    <n v="21"/>
    <n v="76"/>
    <n v="16"/>
    <n v="63"/>
    <x v="4"/>
    <n v="1008"/>
    <n v="79"/>
    <n v="0.96202531645569622"/>
    <x v="2"/>
    <n v="1008"/>
  </r>
  <r>
    <s v="P034"/>
    <x v="37"/>
    <x v="4"/>
    <n v="179"/>
    <n v="24"/>
    <n v="61"/>
    <n v="142"/>
    <n v="96"/>
    <x v="0"/>
    <n v="13632"/>
    <n v="250"/>
    <n v="0.24399999999999999"/>
    <x v="1"/>
    <n v="13632"/>
  </r>
  <r>
    <s v="P006"/>
    <x v="0"/>
    <x v="0"/>
    <n v="53"/>
    <n v="62"/>
    <n v="152"/>
    <n v="-37"/>
    <n v="42"/>
    <x v="3"/>
    <n v="-1554"/>
    <n v="34.5"/>
    <n v="4.4057971014492754"/>
    <x v="2"/>
    <n v="-1554"/>
  </r>
  <r>
    <s v="P013"/>
    <x v="35"/>
    <x v="4"/>
    <n v="183"/>
    <n v="139"/>
    <n v="165"/>
    <n v="157"/>
    <n v="101"/>
    <x v="1"/>
    <n v="15857"/>
    <n v="261.5"/>
    <n v="0.63097514340344163"/>
    <x v="1"/>
    <n v="15857"/>
  </r>
  <r>
    <s v="P006"/>
    <x v="0"/>
    <x v="0"/>
    <n v="155"/>
    <n v="39"/>
    <n v="52"/>
    <n v="142"/>
    <n v="42"/>
    <x v="4"/>
    <n v="5964"/>
    <n v="226"/>
    <n v="0.23008849557522124"/>
    <x v="1"/>
    <n v="5964"/>
  </r>
  <r>
    <s v="P005"/>
    <x v="11"/>
    <x v="2"/>
    <n v="178"/>
    <n v="70"/>
    <n v="63"/>
    <n v="185"/>
    <n v="40"/>
    <x v="0"/>
    <n v="7400"/>
    <n v="270.5"/>
    <n v="0.23290203327171904"/>
    <x v="1"/>
    <n v="7400"/>
  </r>
  <r>
    <s v="P003"/>
    <x v="4"/>
    <x v="3"/>
    <n v="200"/>
    <n v="62"/>
    <n v="173"/>
    <n v="89"/>
    <n v="66"/>
    <x v="3"/>
    <n v="5874"/>
    <n v="244.5"/>
    <n v="0.70756646216768915"/>
    <x v="0"/>
    <n v="5874"/>
  </r>
  <r>
    <s v="P034"/>
    <x v="37"/>
    <x v="4"/>
    <n v="164"/>
    <n v="20"/>
    <n v="85"/>
    <n v="99"/>
    <n v="96"/>
    <x v="4"/>
    <n v="9504"/>
    <n v="213.5"/>
    <n v="0.39812646370023419"/>
    <x v="0"/>
    <n v="9504"/>
  </r>
  <r>
    <s v="P007"/>
    <x v="22"/>
    <x v="2"/>
    <n v="151"/>
    <n v="23"/>
    <n v="113"/>
    <n v="61"/>
    <n v="75"/>
    <x v="0"/>
    <n v="4575"/>
    <n v="181.5"/>
    <n v="0.62258953168044073"/>
    <x v="0"/>
    <n v="4575"/>
  </r>
  <r>
    <s v="P025"/>
    <x v="26"/>
    <x v="0"/>
    <n v="96"/>
    <n v="20"/>
    <n v="82"/>
    <n v="34"/>
    <n v="113"/>
    <x v="0"/>
    <n v="3842"/>
    <n v="113"/>
    <n v="0.72566371681415931"/>
    <x v="2"/>
    <n v="384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P001"/>
    <x v="0"/>
    <s v="Snacks"/>
    <n v="46"/>
    <n v="74"/>
  </r>
  <r>
    <s v="P002"/>
    <x v="1"/>
    <s v="Premium"/>
    <n v="96"/>
    <n v="146"/>
  </r>
  <r>
    <s v="P003"/>
    <x v="2"/>
    <s v="Bars"/>
    <n v="66"/>
    <n v="86"/>
  </r>
  <r>
    <s v="P004"/>
    <x v="3"/>
    <s v="Bars"/>
    <n v="75"/>
    <n v="99"/>
  </r>
  <r>
    <s v="P005"/>
    <x v="4"/>
    <s v="Premium"/>
    <n v="40"/>
    <n v="98"/>
  </r>
  <r>
    <s v="P006"/>
    <x v="5"/>
    <s v="Festive"/>
    <n v="42"/>
    <n v="140"/>
  </r>
  <r>
    <s v="P007"/>
    <x v="6"/>
    <s v="Premium"/>
    <n v="75"/>
    <n v="128"/>
  </r>
  <r>
    <s v="P008"/>
    <x v="7"/>
    <s v="Premium"/>
    <n v="46"/>
    <n v="76"/>
  </r>
  <r>
    <s v="P009"/>
    <x v="8"/>
    <s v="Festive"/>
    <n v="72"/>
    <n v="96"/>
  </r>
  <r>
    <s v="P010"/>
    <x v="9"/>
    <s v="Bars"/>
    <n v="94"/>
    <n v="160"/>
  </r>
  <r>
    <s v="P011"/>
    <x v="10"/>
    <s v="Bars"/>
    <n v="59"/>
    <n v="90"/>
  </r>
  <r>
    <s v="P012"/>
    <x v="11"/>
    <s v="Cookies"/>
    <n v="76"/>
    <n v="98"/>
  </r>
  <r>
    <s v="P013"/>
    <x v="12"/>
    <s v="Cookies"/>
    <n v="101"/>
    <n v="143"/>
  </r>
  <r>
    <s v="P014"/>
    <x v="13"/>
    <s v="Snacks"/>
    <n v="20"/>
    <n v="96"/>
  </r>
  <r>
    <s v="P015"/>
    <x v="14"/>
    <s v="Festive"/>
    <n v="63"/>
    <n v="158"/>
  </r>
  <r>
    <s v="P016"/>
    <x v="15"/>
    <s v="Cookies"/>
    <n v="24"/>
    <n v="89"/>
  </r>
  <r>
    <s v="P017"/>
    <x v="16"/>
    <s v="Cookies"/>
    <n v="98"/>
    <n v="151"/>
  </r>
  <r>
    <s v="P018"/>
    <x v="17"/>
    <s v="Snacks"/>
    <n v="93"/>
    <n v="156"/>
  </r>
  <r>
    <s v="P019"/>
    <x v="18"/>
    <s v="Bars"/>
    <n v="21"/>
    <n v="95"/>
  </r>
  <r>
    <s v="P020"/>
    <x v="19"/>
    <s v="Snacks"/>
    <n v="10"/>
    <n v="61"/>
  </r>
  <r>
    <s v="P021"/>
    <x v="20"/>
    <s v="Premium"/>
    <n v="43"/>
    <n v="65"/>
  </r>
  <r>
    <s v="P022"/>
    <x v="21"/>
    <s v="Festive"/>
    <n v="61"/>
    <n v="147"/>
  </r>
  <r>
    <s v="P023"/>
    <x v="22"/>
    <s v="Snacks"/>
    <n v="11"/>
    <n v="37"/>
  </r>
  <r>
    <s v="P024"/>
    <x v="23"/>
    <s v="Bars"/>
    <n v="88"/>
    <n v="144"/>
  </r>
  <r>
    <s v="P025"/>
    <x v="24"/>
    <s v="Festive"/>
    <n v="113"/>
    <n v="168"/>
  </r>
  <r>
    <s v="P026"/>
    <x v="25"/>
    <s v="Festive"/>
    <n v="42"/>
    <n v="82"/>
  </r>
  <r>
    <s v="P027"/>
    <x v="26"/>
    <s v="Bars"/>
    <n v="92"/>
    <n v="135"/>
  </r>
  <r>
    <s v="P028"/>
    <x v="27"/>
    <s v="Bars"/>
    <n v="54"/>
    <n v="109"/>
  </r>
  <r>
    <s v="P029"/>
    <x v="28"/>
    <s v="Snacks"/>
    <n v="78"/>
    <n v="100"/>
  </r>
  <r>
    <s v="P030"/>
    <x v="29"/>
    <s v="Cookies"/>
    <n v="55"/>
    <n v="135"/>
  </r>
  <r>
    <s v="P031"/>
    <x v="30"/>
    <s v="Cookies"/>
    <n v="72"/>
    <n v="119"/>
  </r>
  <r>
    <s v="P032"/>
    <x v="31"/>
    <s v="Premium"/>
    <n v="85"/>
    <n v="130"/>
  </r>
  <r>
    <s v="P033"/>
    <x v="32"/>
    <s v="Cookies"/>
    <n v="13"/>
    <n v="52"/>
  </r>
  <r>
    <s v="P034"/>
    <x v="33"/>
    <s v="Cookies"/>
    <n v="96"/>
    <n v="154"/>
  </r>
  <r>
    <s v="P035"/>
    <x v="34"/>
    <s v="Cookies"/>
    <n v="106"/>
    <n v="199"/>
  </r>
  <r>
    <s v="P036"/>
    <x v="35"/>
    <s v="Cookies"/>
    <n v="69"/>
    <n v="139"/>
  </r>
  <r>
    <s v="P037"/>
    <x v="36"/>
    <s v="Snacks"/>
    <n v="105"/>
    <n v="160"/>
  </r>
  <r>
    <s v="P038"/>
    <x v="37"/>
    <s v="Premium"/>
    <n v="63"/>
    <n v="113"/>
  </r>
  <r>
    <s v="P039"/>
    <x v="38"/>
    <s v="Festive"/>
    <n v="118"/>
    <n v="181"/>
  </r>
  <r>
    <s v="P040"/>
    <x v="39"/>
    <s v="Festive"/>
    <n v="63"/>
    <n v="1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25162-CF2E-41B9-9BD0-8050F8BAF113}" name="PivotTable2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G2:I43" firstHeaderRow="0" firstDataRow="1" firstDataCol="1"/>
  <pivotFields count="5">
    <pivotField showAll="0"/>
    <pivotField axis="axisRow" showAll="0">
      <items count="41">
        <item x="10"/>
        <item x="24"/>
        <item x="27"/>
        <item x="14"/>
        <item x="11"/>
        <item x="6"/>
        <item x="37"/>
        <item x="2"/>
        <item x="4"/>
        <item x="31"/>
        <item x="28"/>
        <item x="0"/>
        <item x="35"/>
        <item x="22"/>
        <item x="19"/>
        <item x="23"/>
        <item x="13"/>
        <item x="9"/>
        <item x="3"/>
        <item x="39"/>
        <item x="17"/>
        <item x="36"/>
        <item x="7"/>
        <item x="30"/>
        <item x="16"/>
        <item x="1"/>
        <item x="5"/>
        <item x="38"/>
        <item x="32"/>
        <item x="21"/>
        <item x="15"/>
        <item x="20"/>
        <item x="12"/>
        <item x="26"/>
        <item x="8"/>
        <item x="29"/>
        <item x="33"/>
        <item x="25"/>
        <item x="34"/>
        <item x="18"/>
        <item t="default"/>
      </items>
    </pivotField>
    <pivotField showAll="0"/>
    <pivotField dataField="1" showAll="0"/>
    <pivotField dataField="1"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name="cost price" fld="3" baseField="0" baseItem="0"/>
    <dataField name="Selling Price" fld="4"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2B798-AA3A-40FB-879A-200F9F76D213}"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5:U23" firstHeaderRow="1" firstDataRow="1" firstDataCol="1"/>
  <pivotFields count="14">
    <pivotField showAll="0"/>
    <pivotField axis="axisRow" showAll="0" measureFilter="1" sortType="descending">
      <items count="41">
        <item x="39"/>
        <item x="26"/>
        <item x="12"/>
        <item x="38"/>
        <item x="14"/>
        <item x="22"/>
        <item x="3"/>
        <item x="4"/>
        <item x="11"/>
        <item x="5"/>
        <item x="1"/>
        <item x="27"/>
        <item x="23"/>
        <item x="25"/>
        <item x="19"/>
        <item x="32"/>
        <item x="2"/>
        <item x="10"/>
        <item x="29"/>
        <item x="6"/>
        <item x="36"/>
        <item x="7"/>
        <item x="13"/>
        <item x="18"/>
        <item x="21"/>
        <item x="16"/>
        <item x="0"/>
        <item x="17"/>
        <item x="9"/>
        <item x="28"/>
        <item x="34"/>
        <item x="24"/>
        <item x="35"/>
        <item x="8"/>
        <item x="31"/>
        <item x="20"/>
        <item x="37"/>
        <item x="33"/>
        <item x="15"/>
        <item x="30"/>
        <item t="default"/>
      </items>
      <autoSortScope>
        <pivotArea dataOnly="0" outline="0" fieldPosition="0">
          <references count="1">
            <reference field="4294967294" count="1" selected="0">
              <x v="0"/>
            </reference>
          </references>
        </pivotArea>
      </autoSortScope>
    </pivotField>
    <pivotField showAll="0">
      <items count="6">
        <item x="3"/>
        <item x="4"/>
        <item x="0"/>
        <item x="2"/>
        <item x="1"/>
        <item t="default"/>
      </items>
    </pivotField>
    <pivotField showAll="0"/>
    <pivotField showAll="0"/>
    <pivotField showAll="0"/>
    <pivotField dataField="1" showAll="0"/>
    <pivotField showAll="0"/>
    <pivotField showAll="0"/>
    <pivotField showAll="0"/>
    <pivotField showAll="0"/>
    <pivotField showAll="0"/>
    <pivotField showAll="0"/>
    <pivotField numFmtId="166" showAll="0"/>
  </pivotFields>
  <rowFields count="1">
    <field x="1"/>
  </rowFields>
  <rowItems count="18">
    <i>
      <x v="27"/>
    </i>
    <i>
      <x v="36"/>
    </i>
    <i>
      <x v="32"/>
    </i>
    <i>
      <x v="13"/>
    </i>
    <i>
      <x v="20"/>
    </i>
    <i>
      <x v="14"/>
    </i>
    <i>
      <x v="31"/>
    </i>
    <i>
      <x v="15"/>
    </i>
    <i>
      <x v="34"/>
    </i>
    <i>
      <x v="24"/>
    </i>
    <i>
      <x v="3"/>
    </i>
    <i>
      <x v="17"/>
    </i>
    <i>
      <x v="18"/>
    </i>
    <i>
      <x/>
    </i>
    <i>
      <x v="30"/>
    </i>
    <i>
      <x v="12"/>
    </i>
    <i>
      <x v="19"/>
    </i>
    <i t="grand">
      <x/>
    </i>
  </rowItems>
  <colItems count="1">
    <i/>
  </colItems>
  <dataFields count="1">
    <dataField name="Count of Current_Stock" fld="6"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91C192-B4DC-4098-9C48-188F539756A3}" name="Pivo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12:R16" firstHeaderRow="1" firstDataRow="1" firstDataCol="1"/>
  <pivotFields count="14">
    <pivotField showAll="0"/>
    <pivotField showAll="0"/>
    <pivotField showAll="0"/>
    <pivotField showAll="0"/>
    <pivotField showAll="0"/>
    <pivotField showAll="0"/>
    <pivotField dataField="1" showAll="0"/>
    <pivotField showAll="0"/>
    <pivotField showAll="0">
      <items count="6">
        <item x="3"/>
        <item x="2"/>
        <item x="1"/>
        <item x="4"/>
        <item x="0"/>
        <item t="default"/>
      </items>
    </pivotField>
    <pivotField showAll="0"/>
    <pivotField showAll="0"/>
    <pivotField showAll="0"/>
    <pivotField axis="axisRow" showAll="0">
      <items count="4">
        <item x="1"/>
        <item x="2"/>
        <item x="0"/>
        <item t="default"/>
      </items>
    </pivotField>
    <pivotField numFmtId="166" showAll="0"/>
  </pivotFields>
  <rowFields count="1">
    <field x="12"/>
  </rowFields>
  <rowItems count="4">
    <i>
      <x/>
    </i>
    <i>
      <x v="1"/>
    </i>
    <i>
      <x v="2"/>
    </i>
    <i t="grand">
      <x/>
    </i>
  </rowItems>
  <colItems count="1">
    <i/>
  </colItems>
  <dataFields count="1">
    <dataField name="Count of Current_Stock" fld="6" subtotal="count" baseField="12" baseItem="1"/>
  </dataFields>
  <chartFormats count="1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2"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94396D-0E0A-4460-B366-6DF173FD7B24}" name="PivotTable20"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Supplier">
  <location ref="X12:Y18" firstHeaderRow="1" firstDataRow="1" firstDataCol="1"/>
  <pivotFields count="1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2"/>
        <item x="1"/>
        <item x="4"/>
        <item x="0"/>
        <item t="default"/>
      </items>
    </pivotField>
    <pivotField compact="0" outline="0" showAll="0"/>
    <pivotField compact="0" outline="0" showAll="0"/>
    <pivotField compact="0" outline="0" showAll="0"/>
    <pivotField compact="0" outline="0" showAll="0"/>
    <pivotField dataField="1" compact="0" numFmtId="166" outline="0" showAll="0"/>
  </pivotFields>
  <rowFields count="1">
    <field x="8"/>
  </rowFields>
  <rowItems count="6">
    <i>
      <x/>
    </i>
    <i>
      <x v="1"/>
    </i>
    <i>
      <x v="2"/>
    </i>
    <i>
      <x v="3"/>
    </i>
    <i>
      <x v="4"/>
    </i>
    <i t="grand">
      <x/>
    </i>
  </rowItems>
  <colItems count="1">
    <i/>
  </colItems>
  <dataFields count="1">
    <dataField name="inventory value" fld="13" baseField="8" baseItem="0" numFmtId="166"/>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D4F37-C02E-45DF-9D32-888C5BABEC3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7:P8"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dataField="1" numFmtId="164" showAll="0"/>
  </pivotFields>
  <rowItems count="1">
    <i/>
  </rowItems>
  <colItems count="1">
    <i/>
  </colItems>
  <dataFields count="1">
    <dataField name="Total Profi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55C85-5930-41F2-A97A-6501514E647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0:P21" firstHeaderRow="1" firstDataRow="1" firstDataCol="0"/>
  <pivotFields count="13">
    <pivotField showAll="0"/>
    <pivotField showAll="0"/>
    <pivotField showAll="0"/>
    <pivotField showAll="0"/>
    <pivotField showAll="0"/>
    <pivotField showAll="0"/>
    <pivotField showAll="0"/>
    <pivotField showAll="0"/>
    <pivotField showAll="0"/>
    <pivotField dataField="1" showAll="0"/>
    <pivotField showAll="0">
      <items count="7">
        <item x="3"/>
        <item x="2"/>
        <item x="0"/>
        <item x="5"/>
        <item x="1"/>
        <item x="4"/>
        <item t="default"/>
      </items>
    </pivotField>
    <pivotField showAll="0"/>
    <pivotField numFmtId="164" showAll="0"/>
  </pivotFields>
  <rowItems count="1">
    <i/>
  </rowItems>
  <colItems count="1">
    <i/>
  </colItems>
  <dataFields count="1">
    <dataField name="Avg. Order value" fld="9" subtotal="average" baseField="0" baseItem="0" numFmtId="164"/>
  </dataFields>
  <formats count="2">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3D0CB-4575-4F49-B383-8B7DB8256864}"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6:P27"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Inventory Turnover" fld="11" baseField="0" baseItem="0" numFmtId="2"/>
  </dataFields>
  <formats count="14">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C8F727-6924-46F7-97C3-DAC9ACDF3F25}" name="PivotTable16"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ustomer Name">
  <location ref="AA18:AC29" firstHeaderRow="0" firstDataRow="1" firstDataCol="1"/>
  <pivotFields count="15">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measureFilter="1" sortType="descending">
      <items count="13">
        <item x="9"/>
        <item x="7"/>
        <item x="0"/>
        <item x="4"/>
        <item x="11"/>
        <item x="10"/>
        <item x="3"/>
        <item x="8"/>
        <item x="1"/>
        <item x="2"/>
        <item x="5"/>
        <item x="6"/>
        <item t="default"/>
      </items>
      <autoSortScope>
        <pivotArea dataOnly="0" outline="0" fieldPosition="0">
          <references count="1">
            <reference field="4294967294" count="1" selected="0">
              <x v="0"/>
            </reference>
          </references>
        </pivotArea>
      </autoSortScope>
    </pivotField>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showAll="0"/>
    <pivotField dataField="1" showAll="0"/>
    <pivotField showAll="0">
      <items count="7">
        <item x="3"/>
        <item x="2"/>
        <item x="0"/>
        <item x="5"/>
        <item x="1"/>
        <item x="4"/>
        <item t="default"/>
      </items>
    </pivotField>
    <pivotField showAll="0"/>
    <pivotField dataField="1" numFmtId="164" showAll="0"/>
    <pivotField numFmtId="9" showAll="0"/>
    <pivotField numFmtId="2" showAll="0"/>
  </pivotFields>
  <rowFields count="1">
    <field x="2"/>
  </rowFields>
  <rowItems count="11">
    <i>
      <x v="1"/>
    </i>
    <i>
      <x v="6"/>
    </i>
    <i>
      <x v="2"/>
    </i>
    <i>
      <x v="11"/>
    </i>
    <i>
      <x v="7"/>
    </i>
    <i>
      <x v="5"/>
    </i>
    <i>
      <x v="4"/>
    </i>
    <i>
      <x v="10"/>
    </i>
    <i>
      <x v="9"/>
    </i>
    <i>
      <x v="8"/>
    </i>
    <i t="grand">
      <x/>
    </i>
  </rowItems>
  <colFields count="1">
    <field x="-2"/>
  </colFields>
  <colItems count="2">
    <i>
      <x/>
    </i>
    <i i="1">
      <x v="1"/>
    </i>
  </colItems>
  <dataFields count="2">
    <dataField name="Sales" fld="9" baseField="2" baseItem="1" numFmtId="165"/>
    <dataField name=" profit" fld="12" baseField="2" baseItem="1" numFmtId="165"/>
  </dataFields>
  <chartFormats count="2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11"/>
          </reference>
        </references>
      </pivotArea>
    </chartFormat>
    <chartFormat chart="3" format="8" series="1">
      <pivotArea type="data" outline="0" fieldPosition="0">
        <references count="2">
          <reference field="4294967294" count="1" selected="0">
            <x v="0"/>
          </reference>
          <reference field="2" count="1" selected="0">
            <x v="7"/>
          </reference>
        </references>
      </pivotArea>
    </chartFormat>
    <chartFormat chart="3" format="9" series="1">
      <pivotArea type="data" outline="0" fieldPosition="0">
        <references count="2">
          <reference field="4294967294" count="1" selected="0">
            <x v="0"/>
          </reference>
          <reference field="2" count="1" selected="0">
            <x v="5"/>
          </reference>
        </references>
      </pivotArea>
    </chartFormat>
    <chartFormat chart="3" format="10" series="1">
      <pivotArea type="data" outline="0" fieldPosition="0">
        <references count="2">
          <reference field="4294967294" count="1" selected="0">
            <x v="0"/>
          </reference>
          <reference field="2" count="1" selected="0">
            <x v="4"/>
          </reference>
        </references>
      </pivotArea>
    </chartFormat>
    <chartFormat chart="3" format="11" series="1">
      <pivotArea type="data" outline="0" fieldPosition="0">
        <references count="2">
          <reference field="4294967294" count="1" selected="0">
            <x v="0"/>
          </reference>
          <reference field="2" count="1" selected="0">
            <x v="10"/>
          </reference>
        </references>
      </pivotArea>
    </chartFormat>
    <chartFormat chart="3" format="12" series="1">
      <pivotArea type="data" outline="0" fieldPosition="0">
        <references count="2">
          <reference field="4294967294" count="1" selected="0">
            <x v="0"/>
          </reference>
          <reference field="2" count="1" selected="0">
            <x v="9"/>
          </reference>
        </references>
      </pivotArea>
    </chartFormat>
    <chartFormat chart="3" format="13" series="1">
      <pivotArea type="data" outline="0" fieldPosition="0">
        <references count="2">
          <reference field="4294967294" count="1" selected="0">
            <x v="0"/>
          </reference>
          <reference field="2" count="1" selected="0">
            <x v="8"/>
          </reference>
        </references>
      </pivotArea>
    </chartFormat>
    <chartFormat chart="3" format="14" series="1">
      <pivotArea type="data" outline="0" fieldPosition="0">
        <references count="2">
          <reference field="4294967294" count="1" selected="0">
            <x v="1"/>
          </reference>
          <reference field="2" count="1" selected="0">
            <x v="1"/>
          </reference>
        </references>
      </pivotArea>
    </chartFormat>
    <chartFormat chart="3" format="15" series="1">
      <pivotArea type="data" outline="0" fieldPosition="0">
        <references count="2">
          <reference field="4294967294" count="1" selected="0">
            <x v="1"/>
          </reference>
          <reference field="2" count="1" selected="0">
            <x v="6"/>
          </reference>
        </references>
      </pivotArea>
    </chartFormat>
    <chartFormat chart="3" format="16" series="1">
      <pivotArea type="data" outline="0" fieldPosition="0">
        <references count="2">
          <reference field="4294967294" count="1" selected="0">
            <x v="1"/>
          </reference>
          <reference field="2" count="1" selected="0">
            <x v="2"/>
          </reference>
        </references>
      </pivotArea>
    </chartFormat>
    <chartFormat chart="3" format="17" series="1">
      <pivotArea type="data" outline="0" fieldPosition="0">
        <references count="2">
          <reference field="4294967294" count="1" selected="0">
            <x v="1"/>
          </reference>
          <reference field="2" count="1" selected="0">
            <x v="11"/>
          </reference>
        </references>
      </pivotArea>
    </chartFormat>
    <chartFormat chart="3" format="18" series="1">
      <pivotArea type="data" outline="0" fieldPosition="0">
        <references count="2">
          <reference field="4294967294" count="1" selected="0">
            <x v="1"/>
          </reference>
          <reference field="2" count="1" selected="0">
            <x v="7"/>
          </reference>
        </references>
      </pivotArea>
    </chartFormat>
    <chartFormat chart="3" format="19" series="1">
      <pivotArea type="data" outline="0" fieldPosition="0">
        <references count="2">
          <reference field="4294967294" count="1" selected="0">
            <x v="1"/>
          </reference>
          <reference field="2" count="1" selected="0">
            <x v="5"/>
          </reference>
        </references>
      </pivotArea>
    </chartFormat>
    <chartFormat chart="3" format="20" series="1">
      <pivotArea type="data" outline="0" fieldPosition="0">
        <references count="2">
          <reference field="4294967294" count="1" selected="0">
            <x v="1"/>
          </reference>
          <reference field="2" count="1" selected="0">
            <x v="4"/>
          </reference>
        </references>
      </pivotArea>
    </chartFormat>
    <chartFormat chart="3" format="21" series="1">
      <pivotArea type="data" outline="0" fieldPosition="0">
        <references count="2">
          <reference field="4294967294" count="1" selected="0">
            <x v="1"/>
          </reference>
          <reference field="2" count="1" selected="0">
            <x v="10"/>
          </reference>
        </references>
      </pivotArea>
    </chartFormat>
    <chartFormat chart="3" format="22" series="1">
      <pivotArea type="data" outline="0" fieldPosition="0">
        <references count="2">
          <reference field="4294967294" count="1" selected="0">
            <x v="1"/>
          </reference>
          <reference field="2" count="1" selected="0">
            <x v="9"/>
          </reference>
        </references>
      </pivotArea>
    </chartFormat>
    <chartFormat chart="3" format="23" series="1">
      <pivotArea type="data" outline="0" fieldPosition="0">
        <references count="2">
          <reference field="4294967294" count="1" selected="0">
            <x v="1"/>
          </reference>
          <reference field="2" count="1" selected="0">
            <x v="8"/>
          </reference>
        </references>
      </pivotArea>
    </chartFormat>
    <chartFormat chart="3" format="24" series="1">
      <pivotArea type="data" outline="0" fieldPosition="0">
        <references count="2">
          <reference field="4294967294" count="1" selected="0">
            <x v="1"/>
          </reference>
          <reference field="2" count="1" selected="0">
            <x v="0"/>
          </reference>
        </references>
      </pivotArea>
    </chartFormat>
    <chartFormat chart="3" format="25" series="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2311CB-E76B-4EE9-A0E1-326C25A5B27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4:P15" firstHeaderRow="1" firstDataRow="1" firstDataCol="0"/>
  <pivotFields count="13">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numFmtId="164" showAll="0"/>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17DB4D-F9C6-420A-93FA-B47C5C3EA70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3:P24" firstHeaderRow="1" firstDataRow="1" firstDataCol="0"/>
  <pivotFields count="1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 Inventory value" fld="9"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0E1A51-1D6F-434D-8385-F5EE3D0FC662}"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A4:AC15" firstHeaderRow="0" firstDataRow="1" firstDataCol="1"/>
  <pivotFields count="15">
    <pivotField showAll="0"/>
    <pivotField showAll="0"/>
    <pivotField showAll="0"/>
    <pivotField showAll="0"/>
    <pivotField axis="axisRow" showAll="0" measureFilter="1" sortType="ascending">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pivotField dataField="1" showAll="0"/>
    <pivotField showAll="0">
      <items count="7">
        <item x="3"/>
        <item x="2"/>
        <item x="0"/>
        <item x="5"/>
        <item x="1"/>
        <item x="4"/>
        <item t="default"/>
      </items>
    </pivotField>
    <pivotField showAll="0"/>
    <pivotField dataField="1" numFmtId="164" showAll="0"/>
    <pivotField numFmtId="9" showAll="0"/>
    <pivotField numFmtId="2" showAll="0"/>
  </pivotFields>
  <rowFields count="1">
    <field x="4"/>
  </rowFields>
  <rowItems count="11">
    <i>
      <x v="12"/>
    </i>
    <i>
      <x v="32"/>
    </i>
    <i>
      <x v="35"/>
    </i>
    <i>
      <x v="17"/>
    </i>
    <i>
      <x v="19"/>
    </i>
    <i>
      <x v="38"/>
    </i>
    <i>
      <x v="1"/>
    </i>
    <i>
      <x v="33"/>
    </i>
    <i>
      <x v="27"/>
    </i>
    <i>
      <x v="20"/>
    </i>
    <i t="grand">
      <x/>
    </i>
  </rowItems>
  <colFields count="1">
    <field x="-2"/>
  </colFields>
  <colItems count="2">
    <i>
      <x/>
    </i>
    <i i="1">
      <x v="1"/>
    </i>
  </colItems>
  <dataFields count="2">
    <dataField name="Sales" fld="9" baseField="4" baseItem="1"/>
    <dataField name="profit" fld="12" baseField="4" baseItem="1" numFmtId="164"/>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C847E6-6F6A-4A2E-A875-F191DAF9CC5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3:S20" firstHeaderRow="1" firstDataRow="1" firstDataCol="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showAll="0"/>
    <pivotField dataField="1" showAll="0"/>
    <pivotField axis="axisRow" showAll="0">
      <items count="7">
        <item x="3"/>
        <item x="2"/>
        <item x="0"/>
        <item x="5"/>
        <item x="1"/>
        <item x="4"/>
        <item t="default"/>
      </items>
    </pivotField>
    <pivotField showAll="0"/>
    <pivotField numFmtId="164" showAll="0"/>
    <pivotField numFmtId="9" showAll="0"/>
    <pivotField numFmtId="2" showAll="0"/>
  </pivotFields>
  <rowFields count="1">
    <field x="10"/>
  </rowFields>
  <rowItems count="7">
    <i>
      <x/>
    </i>
    <i>
      <x v="1"/>
    </i>
    <i>
      <x v="2"/>
    </i>
    <i>
      <x v="3"/>
    </i>
    <i>
      <x v="4"/>
    </i>
    <i>
      <x v="5"/>
    </i>
    <i t="grand">
      <x/>
    </i>
  </rowItems>
  <colItems count="1">
    <i/>
  </colItems>
  <dataFields count="1">
    <dataField name="Sales" fld="9"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 chart="3" format="12">
      <pivotArea type="data" outline="0" fieldPosition="0">
        <references count="2">
          <reference field="4294967294" count="1" selected="0">
            <x v="0"/>
          </reference>
          <reference field="10" count="1" selected="0">
            <x v="3"/>
          </reference>
        </references>
      </pivotArea>
    </chartFormat>
    <chartFormat chart="3" format="13">
      <pivotArea type="data" outline="0" fieldPosition="0">
        <references count="2">
          <reference field="4294967294" count="1" selected="0">
            <x v="0"/>
          </reference>
          <reference field="10" count="1" selected="0">
            <x v="4"/>
          </reference>
        </references>
      </pivotArea>
    </chartFormat>
    <chartFormat chart="3" format="1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736453-1B23-4FB2-B9C4-67F33DB00305}"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19:Y25" firstHeaderRow="1" firstDataRow="1" firstDataCol="1"/>
  <pivotFields count="15">
    <pivotField showAll="0"/>
    <pivotField showAll="0"/>
    <pivotField showAll="0"/>
    <pivotField showAll="0"/>
    <pivotField axis="axisRow" showAll="0" measureFilter="1" sortType="descending">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pivotField showAll="0"/>
    <pivotField showAll="0">
      <items count="7">
        <item x="3"/>
        <item x="2"/>
        <item x="0"/>
        <item x="5"/>
        <item x="1"/>
        <item x="4"/>
        <item t="default"/>
      </items>
    </pivotField>
    <pivotField showAll="0"/>
    <pivotField numFmtId="164" showAll="0"/>
    <pivotField numFmtId="9" showAll="0"/>
    <pivotField dataField="1" numFmtId="2" showAll="0"/>
  </pivotFields>
  <rowFields count="1">
    <field x="4"/>
  </rowFields>
  <rowItems count="6">
    <i>
      <x v="23"/>
    </i>
    <i>
      <x v="2"/>
    </i>
    <i>
      <x v="26"/>
    </i>
    <i>
      <x v="11"/>
    </i>
    <i>
      <x v="8"/>
    </i>
    <i t="grand">
      <x/>
    </i>
  </rowItems>
  <colItems count="1">
    <i/>
  </colItems>
  <dataFields count="1">
    <dataField name="Sum of turnover" fld="14"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0E207C-A177-4326-9E77-CFBAB61D8AA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P5" firstHeaderRow="1" firstDataRow="1" firstDataCol="0"/>
  <pivotFields count="1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9" baseField="0" baseItem="0" numFmtId="164"/>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9727D1-D51A-4869-ABAE-025DEBA5FE04}"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12:X17" firstHeaderRow="0" firstDataRow="1" firstDataCol="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axis="axisRow" showAll="0">
      <items count="5">
        <item x="2"/>
        <item x="1"/>
        <item x="0"/>
        <item x="3"/>
        <item t="default"/>
      </items>
    </pivotField>
    <pivotField dataField="1" showAll="0"/>
    <pivotField showAll="0">
      <items count="7">
        <item x="3"/>
        <item x="2"/>
        <item x="0"/>
        <item x="5"/>
        <item x="1"/>
        <item x="4"/>
        <item t="default"/>
      </items>
    </pivotField>
    <pivotField showAll="0"/>
    <pivotField dataField="1" numFmtId="164" showAll="0"/>
    <pivotField dataField="1" numFmtId="9" showAll="0"/>
    <pivotField numFmtId="2" showAll="0"/>
  </pivotFields>
  <rowFields count="1">
    <field x="8"/>
  </rowFields>
  <rowItems count="5">
    <i>
      <x/>
    </i>
    <i>
      <x v="1"/>
    </i>
    <i>
      <x v="2"/>
    </i>
    <i>
      <x v="3"/>
    </i>
    <i t="grand">
      <x/>
    </i>
  </rowItems>
  <colFields count="1">
    <field x="-2"/>
  </colFields>
  <colItems count="3">
    <i>
      <x/>
    </i>
    <i i="1">
      <x v="1"/>
    </i>
    <i i="2">
      <x v="2"/>
    </i>
  </colItems>
  <dataFields count="3">
    <dataField name="Sales" fld="9" baseField="8" baseItem="0"/>
    <dataField name=" profit" fld="12" baseField="8" baseItem="0" numFmtId="164"/>
    <dataField name="profit margin" fld="13" baseField="8"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8E4E3E-D1D7-4AE6-8024-02CDD3B7025F}"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19:V25" firstHeaderRow="1" firstDataRow="1" firstDataCol="1"/>
  <pivotFields count="15">
    <pivotField showAll="0"/>
    <pivotField showAll="0"/>
    <pivotField showAll="0"/>
    <pivotField showAll="0"/>
    <pivotField axis="axisRow" showAll="0" measureFilter="1" sortType="ascending">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pivotField showAll="0"/>
    <pivotField showAll="0">
      <items count="7">
        <item x="3"/>
        <item x="2"/>
        <item x="0"/>
        <item x="5"/>
        <item x="1"/>
        <item x="4"/>
        <item t="default"/>
      </items>
    </pivotField>
    <pivotField showAll="0"/>
    <pivotField numFmtId="164" showAll="0"/>
    <pivotField numFmtId="9" showAll="0"/>
    <pivotField dataField="1" numFmtId="2" showAll="0"/>
  </pivotFields>
  <rowFields count="1">
    <field x="4"/>
  </rowFields>
  <rowItems count="6">
    <i>
      <x v="37"/>
    </i>
    <i>
      <x v="4"/>
    </i>
    <i>
      <x v="7"/>
    </i>
    <i>
      <x v="33"/>
    </i>
    <i>
      <x v="20"/>
    </i>
    <i t="grand">
      <x/>
    </i>
  </rowItems>
  <colItems count="1">
    <i/>
  </colItems>
  <dataFields count="1">
    <dataField name="Sum of turnover" fld="14"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22F383D-242E-4B72-9847-5CAACED3F35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4:S11" firstHeaderRow="1" firstDataRow="1" firstDataCol="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showAll="0"/>
    <pivotField dataField="1" showAll="0"/>
    <pivotField showAll="0">
      <items count="7">
        <item x="3"/>
        <item x="2"/>
        <item x="0"/>
        <item x="5"/>
        <item x="1"/>
        <item x="4"/>
        <item t="default"/>
      </items>
    </pivotField>
    <pivotField axis="axisRow" showAll="0">
      <items count="7">
        <item x="3"/>
        <item x="2"/>
        <item x="4"/>
        <item x="1"/>
        <item x="5"/>
        <item x="0"/>
        <item t="default"/>
      </items>
    </pivotField>
    <pivotField numFmtId="164" showAll="0"/>
    <pivotField numFmtId="9" showAll="0"/>
    <pivotField numFmtId="2" showAll="0"/>
  </pivotFields>
  <rowFields count="1">
    <field x="11"/>
  </rowFields>
  <rowItems count="7">
    <i>
      <x/>
    </i>
    <i>
      <x v="1"/>
    </i>
    <i>
      <x v="2"/>
    </i>
    <i>
      <x v="3"/>
    </i>
    <i>
      <x v="4"/>
    </i>
    <i>
      <x v="5"/>
    </i>
    <i t="grand">
      <x/>
    </i>
  </rowItems>
  <colItems count="1">
    <i/>
  </colItems>
  <dataFields count="1">
    <dataField name="sales" fld="9" baseField="11" baseItem="3"/>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63E459-6595-444F-826D-1955087ACF51}"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4:Y10" firstHeaderRow="0" firstDataRow="1" firstDataCol="1" rowPageCount="1" colPageCount="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axis="axisRow" showAll="0">
      <items count="6">
        <item x="1"/>
        <item x="0"/>
        <item x="4"/>
        <item x="3"/>
        <item x="2"/>
        <item t="default"/>
      </items>
    </pivotField>
    <pivotField showAll="0"/>
    <pivotField showAll="0"/>
    <pivotField showAll="0"/>
    <pivotField dataField="1" showAll="0"/>
    <pivotField axis="axisPage" showAll="0">
      <items count="7">
        <item x="3"/>
        <item x="2"/>
        <item x="0"/>
        <item x="5"/>
        <item x="1"/>
        <item x="4"/>
        <item t="default"/>
      </items>
    </pivotField>
    <pivotField showAll="0"/>
    <pivotField dataField="1" numFmtId="164" showAll="0"/>
    <pivotField dataField="1" numFmtId="9" showAll="0"/>
    <pivotField numFmtId="2" showAll="0"/>
  </pivotFields>
  <rowFields count="1">
    <field x="5"/>
  </rowFields>
  <rowItems count="6">
    <i>
      <x/>
    </i>
    <i>
      <x v="1"/>
    </i>
    <i>
      <x v="2"/>
    </i>
    <i>
      <x v="3"/>
    </i>
    <i>
      <x v="4"/>
    </i>
    <i t="grand">
      <x/>
    </i>
  </rowItems>
  <colFields count="1">
    <field x="-2"/>
  </colFields>
  <colItems count="3">
    <i>
      <x/>
    </i>
    <i i="1">
      <x v="1"/>
    </i>
    <i i="2">
      <x v="2"/>
    </i>
  </colItems>
  <pageFields count="1">
    <pageField fld="10" hier="-1"/>
  </pageFields>
  <dataFields count="3">
    <dataField name="Sales" fld="9" baseField="5" baseItem="1"/>
    <dataField name="profit" fld="12" baseField="5" baseItem="1" numFmtId="164"/>
    <dataField name="profit margin" fld="13" baseField="5" baseItem="1" numFmtId="9"/>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D35BB0D-426C-4FF4-9CD2-A00F80C7CA10}" name="PivotTable18"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Region">
  <location ref="AE13:AH20" firstHeaderRow="0" firstDataRow="1" firstDataCol="1"/>
  <pivotFields count="15">
    <pivotField compact="0" outline="0" showAll="0"/>
    <pivotField compact="0" outline="0" showAll="0"/>
    <pivotField compact="0" outline="0" showAll="0"/>
    <pivotField compact="0" outline="0" showAll="0"/>
    <pivotField compact="0" outline="0"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compact="0" outline="0" showAll="0">
      <items count="6">
        <item x="1"/>
        <item x="0"/>
        <item x="4"/>
        <item x="3"/>
        <item x="2"/>
        <item t="default"/>
      </items>
    </pivotField>
    <pivotField compact="0" outline="0" showAll="0"/>
    <pivotField compact="0" outline="0" showAll="0"/>
    <pivotField compact="0" outline="0" showAll="0"/>
    <pivotField dataField="1" compact="0" outline="0" showAll="0"/>
    <pivotField axis="axisRow" compact="0" outline="0" showAll="0">
      <items count="7">
        <item x="3"/>
        <item x="2"/>
        <item x="0"/>
        <item x="5"/>
        <item x="1"/>
        <item x="4"/>
        <item t="default"/>
      </items>
    </pivotField>
    <pivotField compact="0" outline="0" showAll="0"/>
    <pivotField dataField="1" compact="0" numFmtId="164" outline="0" showAll="0"/>
    <pivotField dataField="1" compact="0" numFmtId="9" outline="0" showAll="0"/>
    <pivotField compact="0" numFmtId="2" outline="0" showAll="0"/>
  </pivotFields>
  <rowFields count="1">
    <field x="10"/>
  </rowFields>
  <rowItems count="7">
    <i>
      <x/>
    </i>
    <i>
      <x v="1"/>
    </i>
    <i>
      <x v="2"/>
    </i>
    <i>
      <x v="3"/>
    </i>
    <i>
      <x v="4"/>
    </i>
    <i>
      <x v="5"/>
    </i>
    <i t="grand">
      <x/>
    </i>
  </rowItems>
  <colFields count="1">
    <field x="-2"/>
  </colFields>
  <colItems count="3">
    <i>
      <x/>
    </i>
    <i i="1">
      <x v="1"/>
    </i>
    <i i="2">
      <x v="2"/>
    </i>
  </colItems>
  <dataFields count="3">
    <dataField name="Sales" fld="9" baseField="10" baseItem="0"/>
    <dataField name="profit" fld="12" baseField="10" baseItem="0" numFmtId="164"/>
    <dataField name="profit margin" fld="13" showDataAs="percentOfTotal" baseField="0" baseItem="0" numFmtId="1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E0B3FA1-531D-4AAA-903D-18B158BE663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7:P18" firstHeaderRow="1" firstDataRow="1" firstDataCol="0"/>
  <pivotFields count="13">
    <pivotField showAll="0"/>
    <pivotField showAll="0"/>
    <pivotField showAll="0"/>
    <pivotField showAll="0"/>
    <pivotField showAll="0"/>
    <pivotField showAll="0"/>
    <pivotField dataField="1" showAll="0"/>
    <pivotField showAll="0"/>
    <pivotField showAll="0"/>
    <pivotField showAll="0"/>
    <pivotField showAll="0">
      <items count="7">
        <item x="3"/>
        <item x="2"/>
        <item x="0"/>
        <item x="5"/>
        <item x="1"/>
        <item x="4"/>
        <item t="default"/>
      </items>
    </pivotField>
    <pivotField showAll="0"/>
    <pivotField numFmtId="164" showAll="0"/>
  </pivotFields>
  <rowItems count="1">
    <i/>
  </rowItems>
  <colItems count="1">
    <i/>
  </colItems>
  <dataFields count="1">
    <dataField name="Total Quantity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0B0601-B94D-4CB9-99B0-BEE2313709F1}" sourceName="Region">
  <pivotTables>
    <pivotTable tabId="3" name="PivotTable18"/>
    <pivotTable tabId="3" name="PivotTable11"/>
    <pivotTable tabId="3" name="PivotTable14"/>
    <pivotTable tabId="3" name="PivotTable16"/>
    <pivotTable tabId="3" name="PivotTable2"/>
    <pivotTable tabId="3" name="PivotTable5"/>
    <pivotTable tabId="3" name="PivotTable9"/>
    <pivotTable tabId="3" name="PivotTable12"/>
    <pivotTable tabId="3" name="PivotTable15"/>
  </pivotTables>
  <data>
    <tabular pivotCacheId="1655474415">
      <items count="6">
        <i x="3" s="1"/>
        <i x="2" s="1"/>
        <i x="0"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B9E0D8-BF0E-4126-B11C-45AA148ADE30}" sourceName="Category">
  <pivotTables>
    <pivotTable tabId="3" name="PivotTable18"/>
    <pivotTable tabId="3" name="PivotTable11"/>
    <pivotTable tabId="3" name="PivotTable14"/>
    <pivotTable tabId="3" name="PivotTable15"/>
    <pivotTable tabId="3" name="PivotTable16"/>
    <pivotTable tabId="3" name="PivotTable2"/>
    <pivotTable tabId="3" name="PivotTable5"/>
    <pivotTable tabId="3" name="PivotTable9"/>
  </pivotTables>
  <data>
    <tabular pivotCacheId="1655474415">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68B7EC9-6AFA-471F-A626-54BE3038C5A8}" sourceName="Product_Name">
  <pivotTables>
    <pivotTable tabId="3" name="PivotTable18"/>
    <pivotTable tabId="3" name="PivotTable11"/>
    <pivotTable tabId="3" name="PivotTable14"/>
    <pivotTable tabId="3" name="PivotTable15"/>
    <pivotTable tabId="3" name="PivotTable16"/>
    <pivotTable tabId="3" name="PivotTable2"/>
    <pivotTable tabId="3" name="PivotTable5"/>
    <pivotTable tabId="3" name="PivotTable9"/>
  </pivotTables>
  <data>
    <tabular pivotCacheId="1655474415">
      <items count="40">
        <i x="13" s="1"/>
        <i x="19" s="1"/>
        <i x="35" s="1"/>
        <i x="11" s="1"/>
        <i x="17" s="1"/>
        <i x="16" s="1"/>
        <i x="37" s="1"/>
        <i x="10" s="1"/>
        <i x="31" s="1"/>
        <i x="25" s="1"/>
        <i x="34" s="1"/>
        <i x="21" s="1"/>
        <i x="6" s="1"/>
        <i x="30" s="1"/>
        <i x="38" s="1"/>
        <i x="39" s="1"/>
        <i x="36" s="1"/>
        <i x="18" s="1"/>
        <i x="22" s="1"/>
        <i x="12" s="1"/>
        <i x="14" s="1"/>
        <i x="2" s="1"/>
        <i x="23" s="1"/>
        <i x="33" s="1"/>
        <i x="3" s="1"/>
        <i x="4" s="1"/>
        <i x="26" s="1"/>
        <i x="9" s="1"/>
        <i x="28" s="1"/>
        <i x="7" s="1"/>
        <i x="8" s="1"/>
        <i x="29" s="1"/>
        <i x="0" s="1"/>
        <i x="27" s="1"/>
        <i x="24" s="1"/>
        <i x="32" s="1"/>
        <i x="5" s="1"/>
        <i x="20" s="1"/>
        <i x="1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F88DA99D-607D-469C-9251-E4A8249218A3}" sourceName="Supplier">
  <pivotTables>
    <pivotTable tabId="2" name="PivotTable20"/>
    <pivotTable tabId="2" name="PivotTable16"/>
  </pivotTables>
  <data>
    <tabular pivotCacheId="1450106382">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1" xr10:uid="{25643B50-1CF9-4033-83F0-83F800C752C2}" cache="Slicer_Supplier1" caption="Supplier"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0045448-E640-4EC6-BBE1-562C0330E82F}" cache="Slicer_Region" caption="Region" style="SlicerStyleLight2" rowHeight="144000"/>
  <slicer name="Category 1" xr10:uid="{8D025A81-A471-4C32-AA9A-D755D84C234E}" cache="Slicer_Category" caption="Category" style="SlicerStyleLight2" rowHeight="180000"/>
  <slicer name="Product_Name 1" xr10:uid="{71FEFC3C-1F44-4741-9CC0-8E095FCFACED}" cache="Slicer_Product_Name" caption="Product_Name" startItem="6" style="SlicerStyleLight2"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F621E2-7F5E-4F54-A8D4-D581B0D11996}" cache="Slicer_Region" caption="Region" rowHeight="234950"/>
  <slicer name="Category" xr10:uid="{95A5B763-F24C-42CC-8E16-154B10AD115E}" cache="Slicer_Category" caption="Category" style="SlicerStyleLight2" rowHeight="234950"/>
  <slicer name="Product_Name" xr10:uid="{40B12189-86B8-4FB4-969C-573EEFEF37D6}" cache="Slicer_Product_Name" caption="Product_Nam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microsoft.com/office/2007/relationships/slicer" Target="../slicers/slicer3.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drawing" Target="../drawings/drawing3.xml"/><Relationship Id="rId2" Type="http://schemas.openxmlformats.org/officeDocument/2006/relationships/pivotTable" Target="../pivotTables/pivotTable6.xml"/><Relationship Id="rId16" Type="http://schemas.openxmlformats.org/officeDocument/2006/relationships/pivotTable" Target="../pivotTables/pivotTable20.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0275-176F-4A9A-B39A-8963B18378E2}">
  <dimension ref="A1:I43"/>
  <sheetViews>
    <sheetView topLeftCell="AB1" zoomScale="116" workbookViewId="0">
      <selection activeCell="G3" sqref="G3:G42"/>
    </sheetView>
  </sheetViews>
  <sheetFormatPr defaultRowHeight="14.4"/>
  <cols>
    <col min="1" max="1" width="10.109375" bestFit="1" customWidth="1"/>
    <col min="2" max="2" width="23.6640625" bestFit="1" customWidth="1"/>
    <col min="3" max="3" width="8.33203125" bestFit="1" customWidth="1"/>
    <col min="4" max="4" width="9.6640625" bestFit="1" customWidth="1"/>
    <col min="5" max="5" width="11.109375" bestFit="1" customWidth="1"/>
  </cols>
  <sheetData>
    <row r="1" spans="1:9">
      <c r="A1" s="1" t="s">
        <v>0</v>
      </c>
      <c r="B1" s="1" t="s">
        <v>1</v>
      </c>
      <c r="C1" s="1" t="s">
        <v>2</v>
      </c>
      <c r="D1" s="1" t="s">
        <v>3</v>
      </c>
      <c r="E1" s="1" t="s">
        <v>4</v>
      </c>
    </row>
    <row r="2" spans="1:9">
      <c r="A2" s="1" t="s">
        <v>5</v>
      </c>
      <c r="B2" s="1" t="s">
        <v>6</v>
      </c>
      <c r="C2" s="1" t="s">
        <v>7</v>
      </c>
      <c r="D2" s="1">
        <v>46</v>
      </c>
      <c r="E2" s="1">
        <v>74</v>
      </c>
      <c r="G2" s="3" t="s">
        <v>799</v>
      </c>
      <c r="H2" t="s">
        <v>834</v>
      </c>
      <c r="I2" t="s">
        <v>835</v>
      </c>
    </row>
    <row r="3" spans="1:9">
      <c r="A3" s="1" t="s">
        <v>8</v>
      </c>
      <c r="B3" s="1" t="s">
        <v>9</v>
      </c>
      <c r="C3" s="1" t="s">
        <v>10</v>
      </c>
      <c r="D3" s="1">
        <v>96</v>
      </c>
      <c r="E3" s="1">
        <v>146</v>
      </c>
      <c r="G3" s="4" t="s">
        <v>178</v>
      </c>
      <c r="H3">
        <v>59</v>
      </c>
      <c r="I3">
        <v>90</v>
      </c>
    </row>
    <row r="4" spans="1:9">
      <c r="A4" s="1" t="s">
        <v>11</v>
      </c>
      <c r="B4" s="1" t="s">
        <v>12</v>
      </c>
      <c r="C4" s="1" t="s">
        <v>147</v>
      </c>
      <c r="D4" s="1">
        <v>66</v>
      </c>
      <c r="E4" s="1">
        <v>86</v>
      </c>
      <c r="G4" s="4" t="s">
        <v>192</v>
      </c>
      <c r="H4">
        <v>113</v>
      </c>
      <c r="I4">
        <v>168</v>
      </c>
    </row>
    <row r="5" spans="1:9">
      <c r="A5" s="1" t="s">
        <v>13</v>
      </c>
      <c r="B5" s="1" t="s">
        <v>14</v>
      </c>
      <c r="C5" s="1" t="s">
        <v>147</v>
      </c>
      <c r="D5" s="1">
        <v>75</v>
      </c>
      <c r="E5" s="1">
        <v>99</v>
      </c>
      <c r="G5" s="4" t="s">
        <v>195</v>
      </c>
      <c r="H5">
        <v>54</v>
      </c>
      <c r="I5">
        <v>109</v>
      </c>
    </row>
    <row r="6" spans="1:9">
      <c r="A6" s="1" t="s">
        <v>15</v>
      </c>
      <c r="B6" s="1" t="s">
        <v>16</v>
      </c>
      <c r="C6" s="1" t="s">
        <v>10</v>
      </c>
      <c r="D6" s="1">
        <v>40</v>
      </c>
      <c r="E6" s="1">
        <v>98</v>
      </c>
      <c r="G6" s="4" t="s">
        <v>182</v>
      </c>
      <c r="H6">
        <v>63</v>
      </c>
      <c r="I6">
        <v>158</v>
      </c>
    </row>
    <row r="7" spans="1:9">
      <c r="A7" s="1" t="s">
        <v>18</v>
      </c>
      <c r="B7" s="1" t="s">
        <v>19</v>
      </c>
      <c r="C7" s="1" t="s">
        <v>146</v>
      </c>
      <c r="D7" s="1">
        <v>42</v>
      </c>
      <c r="E7" s="1">
        <v>140</v>
      </c>
      <c r="G7" s="4" t="s">
        <v>179</v>
      </c>
      <c r="H7">
        <v>76</v>
      </c>
      <c r="I7">
        <v>98</v>
      </c>
    </row>
    <row r="8" spans="1:9">
      <c r="A8" s="1" t="s">
        <v>20</v>
      </c>
      <c r="B8" s="1" t="s">
        <v>21</v>
      </c>
      <c r="C8" s="1" t="s">
        <v>10</v>
      </c>
      <c r="D8" s="1">
        <v>75</v>
      </c>
      <c r="E8" s="1">
        <v>128</v>
      </c>
      <c r="G8" s="4" t="s">
        <v>21</v>
      </c>
      <c r="H8">
        <v>75</v>
      </c>
      <c r="I8">
        <v>128</v>
      </c>
    </row>
    <row r="9" spans="1:9">
      <c r="A9" s="1" t="s">
        <v>22</v>
      </c>
      <c r="B9" s="1" t="s">
        <v>23</v>
      </c>
      <c r="C9" s="1" t="s">
        <v>10</v>
      </c>
      <c r="D9" s="1">
        <v>46</v>
      </c>
      <c r="E9" s="1">
        <v>76</v>
      </c>
      <c r="G9" s="4" t="s">
        <v>205</v>
      </c>
      <c r="H9">
        <v>63</v>
      </c>
      <c r="I9">
        <v>113</v>
      </c>
    </row>
    <row r="10" spans="1:9">
      <c r="A10" s="1" t="s">
        <v>24</v>
      </c>
      <c r="B10" s="1" t="s">
        <v>25</v>
      </c>
      <c r="C10" s="1" t="s">
        <v>146</v>
      </c>
      <c r="D10" s="1">
        <v>72</v>
      </c>
      <c r="E10" s="1">
        <v>96</v>
      </c>
      <c r="G10" s="4" t="s">
        <v>12</v>
      </c>
      <c r="H10">
        <v>66</v>
      </c>
      <c r="I10">
        <v>86</v>
      </c>
    </row>
    <row r="11" spans="1:9">
      <c r="A11" s="1" t="s">
        <v>26</v>
      </c>
      <c r="B11" s="1" t="s">
        <v>27</v>
      </c>
      <c r="C11" s="1" t="s">
        <v>147</v>
      </c>
      <c r="D11" s="1">
        <v>94</v>
      </c>
      <c r="E11" s="1">
        <v>160</v>
      </c>
      <c r="G11" s="4" t="s">
        <v>16</v>
      </c>
      <c r="H11">
        <v>40</v>
      </c>
      <c r="I11">
        <v>98</v>
      </c>
    </row>
    <row r="12" spans="1:9">
      <c r="A12" s="1" t="s">
        <v>148</v>
      </c>
      <c r="B12" s="1" t="s">
        <v>178</v>
      </c>
      <c r="C12" s="1" t="s">
        <v>147</v>
      </c>
      <c r="D12" s="1">
        <v>59</v>
      </c>
      <c r="E12" s="1">
        <v>90</v>
      </c>
      <c r="G12" s="4" t="s">
        <v>199</v>
      </c>
      <c r="H12">
        <v>85</v>
      </c>
      <c r="I12">
        <v>130</v>
      </c>
    </row>
    <row r="13" spans="1:9">
      <c r="A13" s="1" t="s">
        <v>149</v>
      </c>
      <c r="B13" s="1" t="s">
        <v>179</v>
      </c>
      <c r="C13" s="1" t="s">
        <v>17</v>
      </c>
      <c r="D13" s="1">
        <v>76</v>
      </c>
      <c r="E13" s="1">
        <v>98</v>
      </c>
      <c r="G13" s="4" t="s">
        <v>196</v>
      </c>
      <c r="H13">
        <v>78</v>
      </c>
      <c r="I13">
        <v>100</v>
      </c>
    </row>
    <row r="14" spans="1:9">
      <c r="A14" s="1" t="s">
        <v>150</v>
      </c>
      <c r="B14" s="1" t="s">
        <v>180</v>
      </c>
      <c r="C14" s="1" t="s">
        <v>17</v>
      </c>
      <c r="D14" s="1">
        <v>101</v>
      </c>
      <c r="E14" s="1">
        <v>143</v>
      </c>
      <c r="G14" s="4" t="s">
        <v>6</v>
      </c>
      <c r="H14">
        <v>46</v>
      </c>
      <c r="I14">
        <v>74</v>
      </c>
    </row>
    <row r="15" spans="1:9">
      <c r="A15" s="1" t="s">
        <v>151</v>
      </c>
      <c r="B15" s="1" t="s">
        <v>181</v>
      </c>
      <c r="C15" s="1" t="s">
        <v>7</v>
      </c>
      <c r="D15" s="1">
        <v>20</v>
      </c>
      <c r="E15" s="1">
        <v>96</v>
      </c>
      <c r="G15" s="4" t="s">
        <v>203</v>
      </c>
      <c r="H15">
        <v>69</v>
      </c>
      <c r="I15">
        <v>139</v>
      </c>
    </row>
    <row r="16" spans="1:9">
      <c r="A16" s="1" t="s">
        <v>152</v>
      </c>
      <c r="B16" s="1" t="s">
        <v>182</v>
      </c>
      <c r="C16" s="1" t="s">
        <v>146</v>
      </c>
      <c r="D16" s="1">
        <v>63</v>
      </c>
      <c r="E16" s="1">
        <v>158</v>
      </c>
      <c r="G16" s="4" t="s">
        <v>190</v>
      </c>
      <c r="H16">
        <v>11</v>
      </c>
      <c r="I16">
        <v>37</v>
      </c>
    </row>
    <row r="17" spans="1:9">
      <c r="A17" s="1" t="s">
        <v>153</v>
      </c>
      <c r="B17" s="1" t="s">
        <v>183</v>
      </c>
      <c r="C17" s="1" t="s">
        <v>17</v>
      </c>
      <c r="D17" s="1">
        <v>24</v>
      </c>
      <c r="E17" s="1">
        <v>89</v>
      </c>
      <c r="G17" s="4" t="s">
        <v>187</v>
      </c>
      <c r="H17">
        <v>10</v>
      </c>
      <c r="I17">
        <v>61</v>
      </c>
    </row>
    <row r="18" spans="1:9">
      <c r="A18" s="1" t="s">
        <v>154</v>
      </c>
      <c r="B18" s="1" t="s">
        <v>184</v>
      </c>
      <c r="C18" s="1" t="s">
        <v>17</v>
      </c>
      <c r="D18" s="1">
        <v>98</v>
      </c>
      <c r="E18" s="1">
        <v>151</v>
      </c>
      <c r="G18" s="4" t="s">
        <v>191</v>
      </c>
      <c r="H18">
        <v>88</v>
      </c>
      <c r="I18">
        <v>144</v>
      </c>
    </row>
    <row r="19" spans="1:9">
      <c r="A19" s="1" t="s">
        <v>155</v>
      </c>
      <c r="B19" s="1" t="s">
        <v>185</v>
      </c>
      <c r="C19" s="1" t="s">
        <v>7</v>
      </c>
      <c r="D19" s="1">
        <v>93</v>
      </c>
      <c r="E19" s="1">
        <v>156</v>
      </c>
      <c r="G19" s="4" t="s">
        <v>181</v>
      </c>
      <c r="H19">
        <v>20</v>
      </c>
      <c r="I19">
        <v>96</v>
      </c>
    </row>
    <row r="20" spans="1:9">
      <c r="A20" s="1" t="s">
        <v>156</v>
      </c>
      <c r="B20" s="1" t="s">
        <v>186</v>
      </c>
      <c r="C20" s="1" t="s">
        <v>147</v>
      </c>
      <c r="D20" s="1">
        <v>21</v>
      </c>
      <c r="E20" s="1">
        <v>95</v>
      </c>
      <c r="G20" s="4" t="s">
        <v>27</v>
      </c>
      <c r="H20">
        <v>94</v>
      </c>
      <c r="I20">
        <v>160</v>
      </c>
    </row>
    <row r="21" spans="1:9">
      <c r="A21" s="1" t="s">
        <v>157</v>
      </c>
      <c r="B21" s="1" t="s">
        <v>187</v>
      </c>
      <c r="C21" s="1" t="s">
        <v>7</v>
      </c>
      <c r="D21" s="1">
        <v>10</v>
      </c>
      <c r="E21" s="1">
        <v>61</v>
      </c>
      <c r="G21" s="4" t="s">
        <v>14</v>
      </c>
      <c r="H21">
        <v>75</v>
      </c>
      <c r="I21">
        <v>99</v>
      </c>
    </row>
    <row r="22" spans="1:9">
      <c r="A22" s="1" t="s">
        <v>158</v>
      </c>
      <c r="B22" s="1" t="s">
        <v>188</v>
      </c>
      <c r="C22" s="1" t="s">
        <v>10</v>
      </c>
      <c r="D22" s="1">
        <v>43</v>
      </c>
      <c r="E22" s="1">
        <v>65</v>
      </c>
      <c r="G22" s="4" t="s">
        <v>207</v>
      </c>
      <c r="H22">
        <v>63</v>
      </c>
      <c r="I22">
        <v>145</v>
      </c>
    </row>
    <row r="23" spans="1:9">
      <c r="A23" s="1" t="s">
        <v>159</v>
      </c>
      <c r="B23" s="1" t="s">
        <v>189</v>
      </c>
      <c r="C23" s="1" t="s">
        <v>146</v>
      </c>
      <c r="D23" s="1">
        <v>61</v>
      </c>
      <c r="E23" s="1">
        <v>147</v>
      </c>
      <c r="G23" s="4" t="s">
        <v>185</v>
      </c>
      <c r="H23">
        <v>93</v>
      </c>
      <c r="I23">
        <v>156</v>
      </c>
    </row>
    <row r="24" spans="1:9">
      <c r="A24" s="1" t="s">
        <v>160</v>
      </c>
      <c r="B24" s="1" t="s">
        <v>190</v>
      </c>
      <c r="C24" s="1" t="s">
        <v>7</v>
      </c>
      <c r="D24" s="1">
        <v>11</v>
      </c>
      <c r="E24" s="1">
        <v>37</v>
      </c>
      <c r="G24" s="4" t="s">
        <v>204</v>
      </c>
      <c r="H24">
        <v>105</v>
      </c>
      <c r="I24">
        <v>160</v>
      </c>
    </row>
    <row r="25" spans="1:9">
      <c r="A25" s="1" t="s">
        <v>161</v>
      </c>
      <c r="B25" s="1" t="s">
        <v>191</v>
      </c>
      <c r="C25" s="1" t="s">
        <v>147</v>
      </c>
      <c r="D25" s="1">
        <v>88</v>
      </c>
      <c r="E25" s="1">
        <v>144</v>
      </c>
      <c r="G25" s="4" t="s">
        <v>23</v>
      </c>
      <c r="H25">
        <v>46</v>
      </c>
      <c r="I25">
        <v>76</v>
      </c>
    </row>
    <row r="26" spans="1:9">
      <c r="A26" s="1" t="s">
        <v>162</v>
      </c>
      <c r="B26" s="1" t="s">
        <v>192</v>
      </c>
      <c r="C26" s="1" t="s">
        <v>146</v>
      </c>
      <c r="D26" s="1">
        <v>113</v>
      </c>
      <c r="E26" s="1">
        <v>168</v>
      </c>
      <c r="G26" s="4" t="s">
        <v>198</v>
      </c>
      <c r="H26">
        <v>72</v>
      </c>
      <c r="I26">
        <v>119</v>
      </c>
    </row>
    <row r="27" spans="1:9">
      <c r="A27" s="1" t="s">
        <v>163</v>
      </c>
      <c r="B27" s="1" t="s">
        <v>193</v>
      </c>
      <c r="C27" s="1" t="s">
        <v>146</v>
      </c>
      <c r="D27" s="1">
        <v>42</v>
      </c>
      <c r="E27" s="1">
        <v>82</v>
      </c>
      <c r="G27" s="4" t="s">
        <v>184</v>
      </c>
      <c r="H27">
        <v>98</v>
      </c>
      <c r="I27">
        <v>151</v>
      </c>
    </row>
    <row r="28" spans="1:9">
      <c r="A28" s="1" t="s">
        <v>164</v>
      </c>
      <c r="B28" s="1" t="s">
        <v>194</v>
      </c>
      <c r="C28" s="1" t="s">
        <v>147</v>
      </c>
      <c r="D28" s="1">
        <v>92</v>
      </c>
      <c r="E28" s="1">
        <v>135</v>
      </c>
      <c r="G28" s="4" t="s">
        <v>9</v>
      </c>
      <c r="H28">
        <v>96</v>
      </c>
      <c r="I28">
        <v>146</v>
      </c>
    </row>
    <row r="29" spans="1:9">
      <c r="A29" s="1" t="s">
        <v>165</v>
      </c>
      <c r="B29" s="1" t="s">
        <v>195</v>
      </c>
      <c r="C29" s="1" t="s">
        <v>147</v>
      </c>
      <c r="D29" s="1">
        <v>54</v>
      </c>
      <c r="E29" s="1">
        <v>109</v>
      </c>
      <c r="G29" s="4" t="s">
        <v>19</v>
      </c>
      <c r="H29">
        <v>42</v>
      </c>
      <c r="I29">
        <v>140</v>
      </c>
    </row>
    <row r="30" spans="1:9">
      <c r="A30" s="1" t="s">
        <v>166</v>
      </c>
      <c r="B30" s="1" t="s">
        <v>196</v>
      </c>
      <c r="C30" s="1" t="s">
        <v>7</v>
      </c>
      <c r="D30" s="1">
        <v>78</v>
      </c>
      <c r="E30" s="1">
        <v>100</v>
      </c>
      <c r="G30" s="4" t="s">
        <v>206</v>
      </c>
      <c r="H30">
        <v>118</v>
      </c>
      <c r="I30">
        <v>181</v>
      </c>
    </row>
    <row r="31" spans="1:9">
      <c r="A31" s="1" t="s">
        <v>167</v>
      </c>
      <c r="B31" s="1" t="s">
        <v>197</v>
      </c>
      <c r="C31" s="1" t="s">
        <v>17</v>
      </c>
      <c r="D31" s="1">
        <v>55</v>
      </c>
      <c r="E31" s="1">
        <v>135</v>
      </c>
      <c r="G31" s="4" t="s">
        <v>200</v>
      </c>
      <c r="H31">
        <v>13</v>
      </c>
      <c r="I31">
        <v>52</v>
      </c>
    </row>
    <row r="32" spans="1:9">
      <c r="A32" s="1" t="s">
        <v>168</v>
      </c>
      <c r="B32" s="1" t="s">
        <v>198</v>
      </c>
      <c r="C32" s="1" t="s">
        <v>17</v>
      </c>
      <c r="D32" s="1">
        <v>72</v>
      </c>
      <c r="E32" s="1">
        <v>119</v>
      </c>
      <c r="G32" s="4" t="s">
        <v>189</v>
      </c>
      <c r="H32">
        <v>61</v>
      </c>
      <c r="I32">
        <v>147</v>
      </c>
    </row>
    <row r="33" spans="1:9">
      <c r="A33" s="1" t="s">
        <v>169</v>
      </c>
      <c r="B33" s="1" t="s">
        <v>199</v>
      </c>
      <c r="C33" s="1" t="s">
        <v>10</v>
      </c>
      <c r="D33" s="1">
        <v>85</v>
      </c>
      <c r="E33" s="1">
        <v>130</v>
      </c>
      <c r="G33" s="4" t="s">
        <v>183</v>
      </c>
      <c r="H33">
        <v>24</v>
      </c>
      <c r="I33">
        <v>89</v>
      </c>
    </row>
    <row r="34" spans="1:9">
      <c r="A34" s="1" t="s">
        <v>170</v>
      </c>
      <c r="B34" s="1" t="s">
        <v>200</v>
      </c>
      <c r="C34" s="1" t="s">
        <v>17</v>
      </c>
      <c r="D34" s="1">
        <v>13</v>
      </c>
      <c r="E34" s="1">
        <v>52</v>
      </c>
      <c r="G34" s="4" t="s">
        <v>188</v>
      </c>
      <c r="H34">
        <v>43</v>
      </c>
      <c r="I34">
        <v>65</v>
      </c>
    </row>
    <row r="35" spans="1:9">
      <c r="A35" s="1" t="s">
        <v>171</v>
      </c>
      <c r="B35" s="1" t="s">
        <v>201</v>
      </c>
      <c r="C35" s="1" t="s">
        <v>17</v>
      </c>
      <c r="D35" s="1">
        <v>96</v>
      </c>
      <c r="E35" s="1">
        <v>154</v>
      </c>
      <c r="G35" s="4" t="s">
        <v>180</v>
      </c>
      <c r="H35">
        <v>101</v>
      </c>
      <c r="I35">
        <v>143</v>
      </c>
    </row>
    <row r="36" spans="1:9">
      <c r="A36" s="1" t="s">
        <v>172</v>
      </c>
      <c r="B36" s="1" t="s">
        <v>202</v>
      </c>
      <c r="C36" s="1" t="s">
        <v>17</v>
      </c>
      <c r="D36" s="1">
        <v>106</v>
      </c>
      <c r="E36" s="1">
        <v>199</v>
      </c>
      <c r="G36" s="4" t="s">
        <v>194</v>
      </c>
      <c r="H36">
        <v>92</v>
      </c>
      <c r="I36">
        <v>135</v>
      </c>
    </row>
    <row r="37" spans="1:9">
      <c r="A37" s="1" t="s">
        <v>173</v>
      </c>
      <c r="B37" s="1" t="s">
        <v>203</v>
      </c>
      <c r="C37" s="1" t="s">
        <v>17</v>
      </c>
      <c r="D37" s="1">
        <v>69</v>
      </c>
      <c r="E37" s="1">
        <v>139</v>
      </c>
      <c r="G37" s="4" t="s">
        <v>25</v>
      </c>
      <c r="H37">
        <v>72</v>
      </c>
      <c r="I37">
        <v>96</v>
      </c>
    </row>
    <row r="38" spans="1:9">
      <c r="A38" s="1" t="s">
        <v>174</v>
      </c>
      <c r="B38" s="1" t="s">
        <v>204</v>
      </c>
      <c r="C38" s="1" t="s">
        <v>7</v>
      </c>
      <c r="D38" s="1">
        <v>105</v>
      </c>
      <c r="E38" s="1">
        <v>160</v>
      </c>
      <c r="G38" s="4" t="s">
        <v>197</v>
      </c>
      <c r="H38">
        <v>55</v>
      </c>
      <c r="I38">
        <v>135</v>
      </c>
    </row>
    <row r="39" spans="1:9">
      <c r="A39" s="1" t="s">
        <v>175</v>
      </c>
      <c r="B39" s="1" t="s">
        <v>205</v>
      </c>
      <c r="C39" s="1" t="s">
        <v>10</v>
      </c>
      <c r="D39" s="1">
        <v>63</v>
      </c>
      <c r="E39" s="1">
        <v>113</v>
      </c>
      <c r="G39" s="4" t="s">
        <v>201</v>
      </c>
      <c r="H39">
        <v>96</v>
      </c>
      <c r="I39">
        <v>154</v>
      </c>
    </row>
    <row r="40" spans="1:9">
      <c r="A40" s="1" t="s">
        <v>176</v>
      </c>
      <c r="B40" s="1" t="s">
        <v>206</v>
      </c>
      <c r="C40" s="1" t="s">
        <v>146</v>
      </c>
      <c r="D40" s="1">
        <v>118</v>
      </c>
      <c r="E40" s="1">
        <v>181</v>
      </c>
      <c r="G40" s="4" t="s">
        <v>193</v>
      </c>
      <c r="H40">
        <v>42</v>
      </c>
      <c r="I40">
        <v>82</v>
      </c>
    </row>
    <row r="41" spans="1:9">
      <c r="A41" s="1" t="s">
        <v>177</v>
      </c>
      <c r="B41" s="1" t="s">
        <v>207</v>
      </c>
      <c r="C41" s="1" t="s">
        <v>146</v>
      </c>
      <c r="D41" s="1">
        <v>63</v>
      </c>
      <c r="E41" s="1">
        <v>145</v>
      </c>
      <c r="G41" s="4" t="s">
        <v>202</v>
      </c>
      <c r="H41">
        <v>106</v>
      </c>
      <c r="I41">
        <v>199</v>
      </c>
    </row>
    <row r="42" spans="1:9">
      <c r="G42" s="4" t="s">
        <v>186</v>
      </c>
      <c r="H42">
        <v>21</v>
      </c>
      <c r="I42">
        <v>95</v>
      </c>
    </row>
    <row r="43" spans="1:9">
      <c r="G43" s="4" t="s">
        <v>800</v>
      </c>
      <c r="H43">
        <v>2644</v>
      </c>
      <c r="I43">
        <v>4754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E3F7-8C16-4B4D-A98F-8DF09E68217C}">
  <dimension ref="A1:Y202"/>
  <sheetViews>
    <sheetView topLeftCell="L53" zoomScale="74" workbookViewId="0">
      <selection activeCell="X12" sqref="X12:Y18"/>
    </sheetView>
  </sheetViews>
  <sheetFormatPr defaultRowHeight="14.4"/>
  <cols>
    <col min="1" max="1" width="10.109375" bestFit="1" customWidth="1"/>
    <col min="2" max="2" width="23.6640625" bestFit="1" customWidth="1"/>
    <col min="3" max="3" width="8.33203125" bestFit="1" customWidth="1"/>
    <col min="4" max="4" width="13.21875" bestFit="1" customWidth="1"/>
    <col min="5" max="5" width="8" bestFit="1" customWidth="1"/>
    <col min="6" max="6" width="9.44140625" bestFit="1" customWidth="1"/>
    <col min="7" max="7" width="12.5546875" bestFit="1" customWidth="1"/>
    <col min="8" max="8" width="9.6640625" bestFit="1" customWidth="1"/>
    <col min="9" max="9" width="13.6640625" bestFit="1" customWidth="1"/>
    <col min="10" max="10" width="14.77734375" customWidth="1"/>
    <col min="11" max="11" width="12.5546875" bestFit="1" customWidth="1"/>
    <col min="12" max="12" width="20.88671875" bestFit="1" customWidth="1"/>
    <col min="13" max="13" width="14.44140625" customWidth="1"/>
    <col min="14" max="14" width="13.33203125" bestFit="1" customWidth="1"/>
    <col min="15" max="15" width="12.88671875" bestFit="1" customWidth="1"/>
    <col min="17" max="17" width="13.88671875" bestFit="1" customWidth="1"/>
    <col min="18" max="18" width="22.21875" bestFit="1" customWidth="1"/>
    <col min="19" max="19" width="14.88671875" bestFit="1" customWidth="1"/>
    <col min="20" max="20" width="24" bestFit="1" customWidth="1"/>
    <col min="21" max="21" width="22.21875" bestFit="1" customWidth="1"/>
    <col min="24" max="24" width="14.109375" bestFit="1" customWidth="1"/>
    <col min="25" max="25" width="15.109375" bestFit="1" customWidth="1"/>
  </cols>
  <sheetData>
    <row r="1" spans="1:25">
      <c r="A1" s="1" t="s">
        <v>0</v>
      </c>
      <c r="B1" s="1" t="s">
        <v>1</v>
      </c>
      <c r="C1" s="1" t="s">
        <v>2</v>
      </c>
      <c r="D1" s="1" t="s">
        <v>28</v>
      </c>
      <c r="E1" s="1" t="s">
        <v>29</v>
      </c>
      <c r="F1" s="1" t="s">
        <v>30</v>
      </c>
      <c r="G1" s="1" t="s">
        <v>31</v>
      </c>
      <c r="H1" s="1" t="s">
        <v>3</v>
      </c>
      <c r="I1" s="1" t="s">
        <v>32</v>
      </c>
      <c r="J1" s="11" t="s">
        <v>807</v>
      </c>
      <c r="K1" s="11" t="s">
        <v>809</v>
      </c>
      <c r="L1" s="11" t="s">
        <v>810</v>
      </c>
      <c r="M1" s="11" t="s">
        <v>825</v>
      </c>
      <c r="N1" s="11" t="s">
        <v>833</v>
      </c>
    </row>
    <row r="2" spans="1:25">
      <c r="A2" s="1" t="s">
        <v>18</v>
      </c>
      <c r="B2" s="1" t="s">
        <v>19</v>
      </c>
      <c r="C2" s="1" t="s">
        <v>146</v>
      </c>
      <c r="D2" s="1">
        <v>172</v>
      </c>
      <c r="E2" s="1">
        <v>29</v>
      </c>
      <c r="F2" s="1">
        <v>144</v>
      </c>
      <c r="G2" s="1">
        <v>57</v>
      </c>
      <c r="H2" s="1">
        <v>42</v>
      </c>
      <c r="I2" s="1" t="s">
        <v>36</v>
      </c>
      <c r="J2">
        <f>G2*H2</f>
        <v>2394</v>
      </c>
      <c r="K2">
        <f>D2+G2/2</f>
        <v>200.5</v>
      </c>
      <c r="L2">
        <f>F2/K2</f>
        <v>0.71820448877805487</v>
      </c>
      <c r="M2" t="str" cm="1">
        <f t="array" ref="M2">_xlfn.IFS(G2&lt;50,"Low Stock",G2&lt;100,"Medium Stock",G2&gt;=100,"Healthy Stock")</f>
        <v>Medium Stock</v>
      </c>
      <c r="N2" s="21">
        <f>G2*H2</f>
        <v>2394</v>
      </c>
    </row>
    <row r="3" spans="1:25">
      <c r="A3" s="1" t="s">
        <v>166</v>
      </c>
      <c r="B3" s="1" t="s">
        <v>196</v>
      </c>
      <c r="C3" s="1" t="s">
        <v>7</v>
      </c>
      <c r="D3" s="1">
        <v>177</v>
      </c>
      <c r="E3" s="1">
        <v>96</v>
      </c>
      <c r="F3" s="1">
        <v>77</v>
      </c>
      <c r="G3" s="1">
        <v>196</v>
      </c>
      <c r="H3" s="1">
        <v>78</v>
      </c>
      <c r="I3" s="1" t="s">
        <v>208</v>
      </c>
      <c r="J3">
        <f t="shared" ref="J3:J66" si="0">G3*H3</f>
        <v>15288</v>
      </c>
      <c r="K3">
        <f t="shared" ref="K3:K66" si="1">D3+G3/2</f>
        <v>275</v>
      </c>
      <c r="L3">
        <f t="shared" ref="L3:L66" si="2">F3/K3</f>
        <v>0.28000000000000003</v>
      </c>
      <c r="M3" t="str" cm="1">
        <f t="array" ref="M3">_xlfn.IFS(G3&lt;50,"Low Stock",G3&lt;100,"Medium Stock",G3&gt;=100,"Healthy Stock")</f>
        <v>Healthy Stock</v>
      </c>
      <c r="N3" s="21">
        <f t="shared" ref="N3:N66" si="3">G3*H3</f>
        <v>15288</v>
      </c>
    </row>
    <row r="4" spans="1:25">
      <c r="A4" s="1" t="s">
        <v>151</v>
      </c>
      <c r="B4" s="1" t="s">
        <v>181</v>
      </c>
      <c r="C4" s="1" t="s">
        <v>7</v>
      </c>
      <c r="D4" s="1">
        <v>180</v>
      </c>
      <c r="E4" s="1">
        <v>130</v>
      </c>
      <c r="F4" s="1">
        <v>165</v>
      </c>
      <c r="G4" s="1">
        <v>145</v>
      </c>
      <c r="H4" s="1">
        <v>20</v>
      </c>
      <c r="I4" s="1" t="s">
        <v>33</v>
      </c>
      <c r="J4">
        <f t="shared" si="0"/>
        <v>2900</v>
      </c>
      <c r="K4">
        <f t="shared" si="1"/>
        <v>252.5</v>
      </c>
      <c r="L4">
        <f t="shared" si="2"/>
        <v>0.65346534653465349</v>
      </c>
      <c r="M4" t="str" cm="1">
        <f t="array" ref="M4">_xlfn.IFS(G4&lt;50,"Low Stock",G4&lt;100,"Medium Stock",G4&gt;=100,"Healthy Stock")</f>
        <v>Healthy Stock</v>
      </c>
      <c r="N4" s="21">
        <f t="shared" si="3"/>
        <v>2900</v>
      </c>
    </row>
    <row r="5" spans="1:25">
      <c r="A5" s="1" t="s">
        <v>175</v>
      </c>
      <c r="B5" s="1" t="s">
        <v>205</v>
      </c>
      <c r="C5" s="1" t="s">
        <v>10</v>
      </c>
      <c r="D5" s="1">
        <v>112</v>
      </c>
      <c r="E5" s="1">
        <v>126</v>
      </c>
      <c r="F5" s="1">
        <v>74</v>
      </c>
      <c r="G5" s="1">
        <v>164</v>
      </c>
      <c r="H5" s="1">
        <v>63</v>
      </c>
      <c r="I5" s="1" t="s">
        <v>208</v>
      </c>
      <c r="J5">
        <f t="shared" si="0"/>
        <v>10332</v>
      </c>
      <c r="K5">
        <f t="shared" si="1"/>
        <v>194</v>
      </c>
      <c r="L5">
        <f t="shared" si="2"/>
        <v>0.38144329896907214</v>
      </c>
      <c r="M5" t="str" cm="1">
        <f t="array" ref="M5">_xlfn.IFS(G5&lt;50,"Low Stock",G5&lt;100,"Medium Stock",G5&gt;=100,"Healthy Stock")</f>
        <v>Healthy Stock</v>
      </c>
      <c r="N5" s="21">
        <f t="shared" si="3"/>
        <v>10332</v>
      </c>
      <c r="T5" s="3" t="s">
        <v>799</v>
      </c>
      <c r="U5" t="s">
        <v>829</v>
      </c>
    </row>
    <row r="6" spans="1:25">
      <c r="A6" s="1" t="s">
        <v>11</v>
      </c>
      <c r="B6" s="1" t="s">
        <v>12</v>
      </c>
      <c r="C6" s="1" t="s">
        <v>147</v>
      </c>
      <c r="D6" s="1">
        <v>167</v>
      </c>
      <c r="E6" s="1">
        <v>69</v>
      </c>
      <c r="F6" s="1">
        <v>179</v>
      </c>
      <c r="G6" s="1">
        <v>57</v>
      </c>
      <c r="H6" s="1">
        <v>66</v>
      </c>
      <c r="I6" s="1" t="s">
        <v>33</v>
      </c>
      <c r="J6">
        <f t="shared" si="0"/>
        <v>3762</v>
      </c>
      <c r="K6">
        <f t="shared" si="1"/>
        <v>195.5</v>
      </c>
      <c r="L6">
        <f t="shared" si="2"/>
        <v>0.9156010230179028</v>
      </c>
      <c r="M6" t="str" cm="1">
        <f t="array" ref="M6">_xlfn.IFS(G6&lt;50,"Low Stock",G6&lt;100,"Medium Stock",G6&gt;=100,"Healthy Stock")</f>
        <v>Medium Stock</v>
      </c>
      <c r="N6" s="21">
        <f t="shared" si="3"/>
        <v>3762</v>
      </c>
      <c r="T6" s="4" t="s">
        <v>206</v>
      </c>
      <c r="U6" s="24">
        <v>4</v>
      </c>
    </row>
    <row r="7" spans="1:25">
      <c r="A7" s="1" t="s">
        <v>175</v>
      </c>
      <c r="B7" s="1" t="s">
        <v>205</v>
      </c>
      <c r="C7" s="1" t="s">
        <v>10</v>
      </c>
      <c r="D7" s="1">
        <v>190</v>
      </c>
      <c r="E7" s="1">
        <v>107</v>
      </c>
      <c r="F7" s="1">
        <v>167</v>
      </c>
      <c r="G7" s="1">
        <v>130</v>
      </c>
      <c r="H7" s="1">
        <v>63</v>
      </c>
      <c r="I7" s="1" t="s">
        <v>208</v>
      </c>
      <c r="J7">
        <f t="shared" si="0"/>
        <v>8190</v>
      </c>
      <c r="K7">
        <f t="shared" si="1"/>
        <v>255</v>
      </c>
      <c r="L7">
        <f t="shared" si="2"/>
        <v>0.65490196078431373</v>
      </c>
      <c r="M7" t="str" cm="1">
        <f t="array" ref="M7">_xlfn.IFS(G7&lt;50,"Low Stock",G7&lt;100,"Medium Stock",G7&gt;=100,"Healthy Stock")</f>
        <v>Healthy Stock</v>
      </c>
      <c r="N7" s="21">
        <f t="shared" si="3"/>
        <v>8190</v>
      </c>
      <c r="T7" s="4" t="s">
        <v>201</v>
      </c>
      <c r="U7" s="24">
        <v>4</v>
      </c>
    </row>
    <row r="8" spans="1:25">
      <c r="A8" s="1" t="s">
        <v>18</v>
      </c>
      <c r="B8" s="1" t="s">
        <v>19</v>
      </c>
      <c r="C8" s="1" t="s">
        <v>146</v>
      </c>
      <c r="D8" s="1">
        <v>112</v>
      </c>
      <c r="E8" s="1">
        <v>55</v>
      </c>
      <c r="F8" s="1">
        <v>74</v>
      </c>
      <c r="G8" s="1">
        <v>93</v>
      </c>
      <c r="H8" s="1">
        <v>42</v>
      </c>
      <c r="I8" s="1" t="s">
        <v>35</v>
      </c>
      <c r="J8">
        <f t="shared" si="0"/>
        <v>3906</v>
      </c>
      <c r="K8">
        <f t="shared" si="1"/>
        <v>158.5</v>
      </c>
      <c r="L8">
        <f t="shared" si="2"/>
        <v>0.46687697160883279</v>
      </c>
      <c r="M8" t="str" cm="1">
        <f t="array" ref="M8">_xlfn.IFS(G8&lt;50,"Low Stock",G8&lt;100,"Medium Stock",G8&gt;=100,"Healthy Stock")</f>
        <v>Medium Stock</v>
      </c>
      <c r="N8" s="21">
        <f t="shared" si="3"/>
        <v>3906</v>
      </c>
      <c r="T8" s="4" t="s">
        <v>180</v>
      </c>
      <c r="U8" s="24">
        <v>4</v>
      </c>
    </row>
    <row r="9" spans="1:25">
      <c r="A9" s="1" t="s">
        <v>151</v>
      </c>
      <c r="B9" s="1" t="s">
        <v>181</v>
      </c>
      <c r="C9" s="1" t="s">
        <v>7</v>
      </c>
      <c r="D9" s="1">
        <v>199</v>
      </c>
      <c r="E9" s="1">
        <v>103</v>
      </c>
      <c r="F9" s="1">
        <v>93</v>
      </c>
      <c r="G9" s="1">
        <v>209</v>
      </c>
      <c r="H9" s="1">
        <v>20</v>
      </c>
      <c r="I9" s="1" t="s">
        <v>35</v>
      </c>
      <c r="J9">
        <f t="shared" si="0"/>
        <v>4180</v>
      </c>
      <c r="K9">
        <f t="shared" si="1"/>
        <v>303.5</v>
      </c>
      <c r="L9">
        <f t="shared" si="2"/>
        <v>0.30642504118616143</v>
      </c>
      <c r="M9" t="str" cm="1">
        <f t="array" ref="M9">_xlfn.IFS(G9&lt;50,"Low Stock",G9&lt;100,"Medium Stock",G9&gt;=100,"Healthy Stock")</f>
        <v>Healthy Stock</v>
      </c>
      <c r="N9" s="21">
        <f t="shared" si="3"/>
        <v>4180</v>
      </c>
      <c r="T9" s="4" t="s">
        <v>190</v>
      </c>
      <c r="U9" s="24">
        <v>4</v>
      </c>
    </row>
    <row r="10" spans="1:25">
      <c r="A10" s="1" t="s">
        <v>166</v>
      </c>
      <c r="B10" s="1" t="s">
        <v>196</v>
      </c>
      <c r="C10" s="1" t="s">
        <v>7</v>
      </c>
      <c r="D10" s="1">
        <v>50</v>
      </c>
      <c r="E10" s="1">
        <v>32</v>
      </c>
      <c r="F10" s="1">
        <v>128</v>
      </c>
      <c r="G10" s="1">
        <v>-46</v>
      </c>
      <c r="H10" s="1">
        <v>78</v>
      </c>
      <c r="I10" s="1" t="s">
        <v>35</v>
      </c>
      <c r="J10">
        <f t="shared" si="0"/>
        <v>-3588</v>
      </c>
      <c r="K10">
        <f t="shared" si="1"/>
        <v>27</v>
      </c>
      <c r="L10">
        <f t="shared" si="2"/>
        <v>4.7407407407407405</v>
      </c>
      <c r="M10" t="str" cm="1">
        <f t="array" ref="M10">_xlfn.IFS(G10&lt;50,"Low Stock",G10&lt;100,"Medium Stock",G10&gt;=100,"Healthy Stock")</f>
        <v>Low Stock</v>
      </c>
      <c r="N10" s="21">
        <f t="shared" si="3"/>
        <v>-3588</v>
      </c>
      <c r="T10" s="4" t="s">
        <v>185</v>
      </c>
      <c r="U10" s="24">
        <v>4</v>
      </c>
    </row>
    <row r="11" spans="1:25">
      <c r="A11" s="1" t="s">
        <v>169</v>
      </c>
      <c r="B11" s="1" t="s">
        <v>199</v>
      </c>
      <c r="C11" s="1" t="s">
        <v>10</v>
      </c>
      <c r="D11" s="1">
        <v>104</v>
      </c>
      <c r="E11" s="1">
        <v>134</v>
      </c>
      <c r="F11" s="1">
        <v>62</v>
      </c>
      <c r="G11" s="1">
        <v>176</v>
      </c>
      <c r="H11" s="1">
        <v>85</v>
      </c>
      <c r="I11" s="1" t="s">
        <v>208</v>
      </c>
      <c r="J11">
        <f t="shared" si="0"/>
        <v>14960</v>
      </c>
      <c r="K11">
        <f t="shared" si="1"/>
        <v>192</v>
      </c>
      <c r="L11">
        <f t="shared" si="2"/>
        <v>0.32291666666666669</v>
      </c>
      <c r="M11" t="str" cm="1">
        <f t="array" ref="M11">_xlfn.IFS(G11&lt;50,"Low Stock",G11&lt;100,"Medium Stock",G11&gt;=100,"Healthy Stock")</f>
        <v>Healthy Stock</v>
      </c>
      <c r="N11" s="21">
        <f t="shared" si="3"/>
        <v>14960</v>
      </c>
      <c r="T11" s="4" t="s">
        <v>187</v>
      </c>
      <c r="U11" s="24">
        <v>4</v>
      </c>
    </row>
    <row r="12" spans="1:25">
      <c r="A12" s="1" t="s">
        <v>177</v>
      </c>
      <c r="B12" s="1" t="s">
        <v>207</v>
      </c>
      <c r="C12" s="1" t="s">
        <v>146</v>
      </c>
      <c r="D12" s="1">
        <v>144</v>
      </c>
      <c r="E12" s="1">
        <v>137</v>
      </c>
      <c r="F12" s="1">
        <v>125</v>
      </c>
      <c r="G12" s="1">
        <v>156</v>
      </c>
      <c r="H12" s="1">
        <v>63</v>
      </c>
      <c r="I12" s="1" t="s">
        <v>35</v>
      </c>
      <c r="J12">
        <f t="shared" si="0"/>
        <v>9828</v>
      </c>
      <c r="K12">
        <f t="shared" si="1"/>
        <v>222</v>
      </c>
      <c r="L12">
        <f t="shared" si="2"/>
        <v>0.56306306306306309</v>
      </c>
      <c r="M12" t="str" cm="1">
        <f t="array" ref="M12">_xlfn.IFS(G12&lt;50,"Low Stock",G12&lt;100,"Medium Stock",G12&gt;=100,"Healthy Stock")</f>
        <v>Healthy Stock</v>
      </c>
      <c r="N12" s="21">
        <f t="shared" si="3"/>
        <v>9828</v>
      </c>
      <c r="Q12" s="3" t="s">
        <v>799</v>
      </c>
      <c r="R12" t="s">
        <v>829</v>
      </c>
      <c r="T12" s="4" t="s">
        <v>188</v>
      </c>
      <c r="U12" s="24">
        <v>4</v>
      </c>
      <c r="X12" s="3" t="s">
        <v>32</v>
      </c>
      <c r="Y12" t="s">
        <v>836</v>
      </c>
    </row>
    <row r="13" spans="1:25">
      <c r="A13" s="1" t="s">
        <v>174</v>
      </c>
      <c r="B13" s="1" t="s">
        <v>204</v>
      </c>
      <c r="C13" s="1" t="s">
        <v>7</v>
      </c>
      <c r="D13" s="1">
        <v>171</v>
      </c>
      <c r="E13" s="1">
        <v>63</v>
      </c>
      <c r="F13" s="1">
        <v>69</v>
      </c>
      <c r="G13" s="1">
        <v>165</v>
      </c>
      <c r="H13" s="1">
        <v>105</v>
      </c>
      <c r="I13" s="1" t="s">
        <v>35</v>
      </c>
      <c r="J13">
        <f t="shared" si="0"/>
        <v>17325</v>
      </c>
      <c r="K13">
        <f t="shared" si="1"/>
        <v>253.5</v>
      </c>
      <c r="L13">
        <f t="shared" si="2"/>
        <v>0.27218934911242604</v>
      </c>
      <c r="M13" t="str" cm="1">
        <f t="array" ref="M13">_xlfn.IFS(G13&lt;50,"Low Stock",G13&lt;100,"Medium Stock",G13&gt;=100,"Healthy Stock")</f>
        <v>Healthy Stock</v>
      </c>
      <c r="N13" s="21">
        <f t="shared" si="3"/>
        <v>17325</v>
      </c>
      <c r="Q13" s="4" t="s">
        <v>826</v>
      </c>
      <c r="R13" s="24">
        <v>101</v>
      </c>
      <c r="T13" s="4" t="s">
        <v>191</v>
      </c>
      <c r="U13" s="24">
        <v>4</v>
      </c>
      <c r="X13" t="s">
        <v>35</v>
      </c>
      <c r="Y13" s="21">
        <v>301534</v>
      </c>
    </row>
    <row r="14" spans="1:25">
      <c r="A14" s="1" t="s">
        <v>164</v>
      </c>
      <c r="B14" s="1" t="s">
        <v>194</v>
      </c>
      <c r="C14" s="1" t="s">
        <v>147</v>
      </c>
      <c r="D14" s="1">
        <v>67</v>
      </c>
      <c r="E14" s="1">
        <v>101</v>
      </c>
      <c r="F14" s="1">
        <v>77</v>
      </c>
      <c r="G14" s="1">
        <v>91</v>
      </c>
      <c r="H14" s="1">
        <v>92</v>
      </c>
      <c r="I14" s="1" t="s">
        <v>34</v>
      </c>
      <c r="J14">
        <f t="shared" si="0"/>
        <v>8372</v>
      </c>
      <c r="K14">
        <f t="shared" si="1"/>
        <v>112.5</v>
      </c>
      <c r="L14">
        <f t="shared" si="2"/>
        <v>0.68444444444444441</v>
      </c>
      <c r="M14" t="str" cm="1">
        <f t="array" ref="M14">_xlfn.IFS(G14&lt;50,"Low Stock",G14&lt;100,"Medium Stock",G14&gt;=100,"Healthy Stock")</f>
        <v>Medium Stock</v>
      </c>
      <c r="N14" s="21">
        <f t="shared" si="3"/>
        <v>8372</v>
      </c>
      <c r="Q14" s="4" t="s">
        <v>827</v>
      </c>
      <c r="R14" s="24">
        <v>46</v>
      </c>
      <c r="T14" s="4" t="s">
        <v>25</v>
      </c>
      <c r="U14" s="24">
        <v>4</v>
      </c>
      <c r="X14" t="s">
        <v>33</v>
      </c>
      <c r="Y14" s="21">
        <v>227349</v>
      </c>
    </row>
    <row r="15" spans="1:25">
      <c r="A15" s="1" t="s">
        <v>151</v>
      </c>
      <c r="B15" s="1" t="s">
        <v>181</v>
      </c>
      <c r="C15" s="1" t="s">
        <v>7</v>
      </c>
      <c r="D15" s="1">
        <v>126</v>
      </c>
      <c r="E15" s="1">
        <v>115</v>
      </c>
      <c r="F15" s="1">
        <v>96</v>
      </c>
      <c r="G15" s="1">
        <v>145</v>
      </c>
      <c r="H15" s="1">
        <v>20</v>
      </c>
      <c r="I15" s="1" t="s">
        <v>36</v>
      </c>
      <c r="J15">
        <f t="shared" si="0"/>
        <v>2900</v>
      </c>
      <c r="K15">
        <f t="shared" si="1"/>
        <v>198.5</v>
      </c>
      <c r="L15">
        <f t="shared" si="2"/>
        <v>0.48362720403022669</v>
      </c>
      <c r="M15" t="str" cm="1">
        <f t="array" ref="M15">_xlfn.IFS(G15&lt;50,"Low Stock",G15&lt;100,"Medium Stock",G15&gt;=100,"Healthy Stock")</f>
        <v>Healthy Stock</v>
      </c>
      <c r="N15" s="21">
        <f t="shared" si="3"/>
        <v>2900</v>
      </c>
      <c r="Q15" s="4" t="s">
        <v>828</v>
      </c>
      <c r="R15" s="24">
        <v>53</v>
      </c>
      <c r="T15" s="4" t="s">
        <v>184</v>
      </c>
      <c r="U15" s="24">
        <v>3</v>
      </c>
      <c r="X15" t="s">
        <v>208</v>
      </c>
      <c r="Y15" s="21">
        <v>269993</v>
      </c>
    </row>
    <row r="16" spans="1:25">
      <c r="A16" s="1" t="s">
        <v>170</v>
      </c>
      <c r="B16" s="1" t="s">
        <v>200</v>
      </c>
      <c r="C16" s="1" t="s">
        <v>17</v>
      </c>
      <c r="D16" s="1">
        <v>114</v>
      </c>
      <c r="E16" s="1">
        <v>39</v>
      </c>
      <c r="F16" s="1">
        <v>44</v>
      </c>
      <c r="G16" s="1">
        <v>109</v>
      </c>
      <c r="H16" s="1">
        <v>13</v>
      </c>
      <c r="I16" s="1" t="s">
        <v>35</v>
      </c>
      <c r="J16">
        <f t="shared" si="0"/>
        <v>1417</v>
      </c>
      <c r="K16">
        <f t="shared" si="1"/>
        <v>168.5</v>
      </c>
      <c r="L16">
        <f t="shared" si="2"/>
        <v>0.26112759643916916</v>
      </c>
      <c r="M16" t="str" cm="1">
        <f t="array" ref="M16">_xlfn.IFS(G16&lt;50,"Low Stock",G16&lt;100,"Medium Stock",G16&gt;=100,"Healthy Stock")</f>
        <v>Healthy Stock</v>
      </c>
      <c r="N16" s="21">
        <f t="shared" si="3"/>
        <v>1417</v>
      </c>
      <c r="Q16" s="4" t="s">
        <v>800</v>
      </c>
      <c r="R16" s="24">
        <v>200</v>
      </c>
      <c r="T16" s="4" t="s">
        <v>182</v>
      </c>
      <c r="U16" s="24">
        <v>3</v>
      </c>
      <c r="X16" t="s">
        <v>34</v>
      </c>
      <c r="Y16" s="21">
        <v>264530</v>
      </c>
    </row>
    <row r="17" spans="1:25">
      <c r="A17" s="1" t="s">
        <v>26</v>
      </c>
      <c r="B17" s="1" t="s">
        <v>27</v>
      </c>
      <c r="C17" s="1" t="s">
        <v>147</v>
      </c>
      <c r="D17" s="1">
        <v>95</v>
      </c>
      <c r="E17" s="1">
        <v>114</v>
      </c>
      <c r="F17" s="1">
        <v>98</v>
      </c>
      <c r="G17" s="1">
        <v>111</v>
      </c>
      <c r="H17" s="1">
        <v>94</v>
      </c>
      <c r="I17" s="1" t="s">
        <v>33</v>
      </c>
      <c r="J17">
        <f t="shared" si="0"/>
        <v>10434</v>
      </c>
      <c r="K17">
        <f t="shared" si="1"/>
        <v>150.5</v>
      </c>
      <c r="L17">
        <f t="shared" si="2"/>
        <v>0.65116279069767447</v>
      </c>
      <c r="M17" t="str" cm="1">
        <f t="array" ref="M17">_xlfn.IFS(G17&lt;50,"Low Stock",G17&lt;100,"Medium Stock",G17&gt;=100,"Healthy Stock")</f>
        <v>Healthy Stock</v>
      </c>
      <c r="N17" s="21">
        <f t="shared" si="3"/>
        <v>10434</v>
      </c>
      <c r="T17" s="4" t="s">
        <v>27</v>
      </c>
      <c r="U17" s="24">
        <v>3</v>
      </c>
      <c r="X17" t="s">
        <v>36</v>
      </c>
      <c r="Y17" s="21">
        <v>242674</v>
      </c>
    </row>
    <row r="18" spans="1:25">
      <c r="A18" s="1" t="s">
        <v>15</v>
      </c>
      <c r="B18" s="1" t="s">
        <v>16</v>
      </c>
      <c r="C18" s="1" t="s">
        <v>10</v>
      </c>
      <c r="D18" s="1">
        <v>153</v>
      </c>
      <c r="E18" s="1">
        <v>145</v>
      </c>
      <c r="F18" s="1">
        <v>117</v>
      </c>
      <c r="G18" s="1">
        <v>181</v>
      </c>
      <c r="H18" s="1">
        <v>40</v>
      </c>
      <c r="I18" s="1" t="s">
        <v>33</v>
      </c>
      <c r="J18">
        <f t="shared" si="0"/>
        <v>7240</v>
      </c>
      <c r="K18">
        <f t="shared" si="1"/>
        <v>243.5</v>
      </c>
      <c r="L18">
        <f t="shared" si="2"/>
        <v>0.48049281314168379</v>
      </c>
      <c r="M18" t="str" cm="1">
        <f t="array" ref="M18">_xlfn.IFS(G18&lt;50,"Low Stock",G18&lt;100,"Medium Stock",G18&gt;=100,"Healthy Stock")</f>
        <v>Healthy Stock</v>
      </c>
      <c r="N18" s="21">
        <f t="shared" si="3"/>
        <v>7240</v>
      </c>
      <c r="T18" s="4" t="s">
        <v>14</v>
      </c>
      <c r="U18" s="24">
        <v>3</v>
      </c>
      <c r="X18" t="s">
        <v>800</v>
      </c>
      <c r="Y18" s="21">
        <v>1306080</v>
      </c>
    </row>
    <row r="19" spans="1:25">
      <c r="A19" s="1" t="s">
        <v>165</v>
      </c>
      <c r="B19" s="1" t="s">
        <v>195</v>
      </c>
      <c r="C19" s="1" t="s">
        <v>147</v>
      </c>
      <c r="D19" s="1">
        <v>176</v>
      </c>
      <c r="E19" s="1">
        <v>21</v>
      </c>
      <c r="F19" s="1">
        <v>127</v>
      </c>
      <c r="G19" s="1">
        <v>70</v>
      </c>
      <c r="H19" s="1">
        <v>54</v>
      </c>
      <c r="I19" s="1" t="s">
        <v>36</v>
      </c>
      <c r="J19">
        <f t="shared" si="0"/>
        <v>3780</v>
      </c>
      <c r="K19">
        <f t="shared" si="1"/>
        <v>211</v>
      </c>
      <c r="L19">
        <f t="shared" si="2"/>
        <v>0.6018957345971564</v>
      </c>
      <c r="M19" t="str" cm="1">
        <f t="array" ref="M19">_xlfn.IFS(G19&lt;50,"Low Stock",G19&lt;100,"Medium Stock",G19&gt;=100,"Healthy Stock")</f>
        <v>Medium Stock</v>
      </c>
      <c r="N19" s="21">
        <f t="shared" si="3"/>
        <v>3780</v>
      </c>
      <c r="T19" s="4" t="s">
        <v>178</v>
      </c>
      <c r="U19" s="24">
        <v>2</v>
      </c>
    </row>
    <row r="20" spans="1:25">
      <c r="A20" s="1" t="s">
        <v>22</v>
      </c>
      <c r="B20" s="1" t="s">
        <v>23</v>
      </c>
      <c r="C20" s="1" t="s">
        <v>10</v>
      </c>
      <c r="D20" s="1">
        <v>141</v>
      </c>
      <c r="E20" s="1">
        <v>109</v>
      </c>
      <c r="F20" s="1">
        <v>137</v>
      </c>
      <c r="G20" s="1">
        <v>113</v>
      </c>
      <c r="H20" s="1">
        <v>46</v>
      </c>
      <c r="I20" s="1" t="s">
        <v>36</v>
      </c>
      <c r="J20">
        <f t="shared" si="0"/>
        <v>5198</v>
      </c>
      <c r="K20">
        <f t="shared" si="1"/>
        <v>197.5</v>
      </c>
      <c r="L20">
        <f t="shared" si="2"/>
        <v>0.6936708860759494</v>
      </c>
      <c r="M20" t="str" cm="1">
        <f t="array" ref="M20">_xlfn.IFS(G20&lt;50,"Low Stock",G20&lt;100,"Medium Stock",G20&gt;=100,"Healthy Stock")</f>
        <v>Healthy Stock</v>
      </c>
      <c r="N20" s="21">
        <f t="shared" si="3"/>
        <v>5198</v>
      </c>
      <c r="T20" s="4" t="s">
        <v>183</v>
      </c>
      <c r="U20" s="24">
        <v>2</v>
      </c>
    </row>
    <row r="21" spans="1:25">
      <c r="A21" s="1" t="s">
        <v>149</v>
      </c>
      <c r="B21" s="1" t="s">
        <v>179</v>
      </c>
      <c r="C21" s="1" t="s">
        <v>17</v>
      </c>
      <c r="D21" s="1">
        <v>136</v>
      </c>
      <c r="E21" s="1">
        <v>85</v>
      </c>
      <c r="F21" s="1">
        <v>168</v>
      </c>
      <c r="G21" s="1">
        <v>53</v>
      </c>
      <c r="H21" s="1">
        <v>76</v>
      </c>
      <c r="I21" s="1" t="s">
        <v>34</v>
      </c>
      <c r="J21">
        <f t="shared" si="0"/>
        <v>4028</v>
      </c>
      <c r="K21">
        <f t="shared" si="1"/>
        <v>162.5</v>
      </c>
      <c r="L21">
        <f t="shared" si="2"/>
        <v>1.0338461538461539</v>
      </c>
      <c r="M21" t="str" cm="1">
        <f t="array" ref="M21">_xlfn.IFS(G21&lt;50,"Low Stock",G21&lt;100,"Medium Stock",G21&gt;=100,"Healthy Stock")</f>
        <v>Medium Stock</v>
      </c>
      <c r="N21" s="21">
        <f t="shared" si="3"/>
        <v>4028</v>
      </c>
      <c r="T21" s="4" t="s">
        <v>203</v>
      </c>
      <c r="U21" s="24">
        <v>2</v>
      </c>
    </row>
    <row r="22" spans="1:25">
      <c r="A22" s="1" t="s">
        <v>172</v>
      </c>
      <c r="B22" s="1" t="s">
        <v>202</v>
      </c>
      <c r="C22" s="1" t="s">
        <v>17</v>
      </c>
      <c r="D22" s="1">
        <v>50</v>
      </c>
      <c r="E22" s="1">
        <v>77</v>
      </c>
      <c r="F22" s="1">
        <v>70</v>
      </c>
      <c r="G22" s="1">
        <v>57</v>
      </c>
      <c r="H22" s="1">
        <v>106</v>
      </c>
      <c r="I22" s="1" t="s">
        <v>36</v>
      </c>
      <c r="J22">
        <f t="shared" si="0"/>
        <v>6042</v>
      </c>
      <c r="K22">
        <f t="shared" si="1"/>
        <v>78.5</v>
      </c>
      <c r="L22">
        <f t="shared" si="2"/>
        <v>0.89171974522292996</v>
      </c>
      <c r="M22" t="str" cm="1">
        <f t="array" ref="M22">_xlfn.IFS(G22&lt;50,"Low Stock",G22&lt;100,"Medium Stock",G22&gt;=100,"Healthy Stock")</f>
        <v>Medium Stock</v>
      </c>
      <c r="N22" s="21">
        <f t="shared" si="3"/>
        <v>6042</v>
      </c>
      <c r="T22" s="4" t="s">
        <v>207</v>
      </c>
      <c r="U22" s="24">
        <v>2</v>
      </c>
    </row>
    <row r="23" spans="1:25">
      <c r="A23" s="1" t="s">
        <v>170</v>
      </c>
      <c r="B23" s="1" t="s">
        <v>200</v>
      </c>
      <c r="C23" s="1" t="s">
        <v>17</v>
      </c>
      <c r="D23" s="1">
        <v>125</v>
      </c>
      <c r="E23" s="1">
        <v>46</v>
      </c>
      <c r="F23" s="1">
        <v>79</v>
      </c>
      <c r="G23" s="1">
        <v>92</v>
      </c>
      <c r="H23" s="1">
        <v>13</v>
      </c>
      <c r="I23" s="1" t="s">
        <v>33</v>
      </c>
      <c r="J23">
        <f t="shared" si="0"/>
        <v>1196</v>
      </c>
      <c r="K23">
        <f t="shared" si="1"/>
        <v>171</v>
      </c>
      <c r="L23">
        <f t="shared" si="2"/>
        <v>0.46198830409356723</v>
      </c>
      <c r="M23" t="str" cm="1">
        <f t="array" ref="M23">_xlfn.IFS(G23&lt;50,"Low Stock",G23&lt;100,"Medium Stock",G23&gt;=100,"Healthy Stock")</f>
        <v>Medium Stock</v>
      </c>
      <c r="N23" s="21">
        <f t="shared" si="3"/>
        <v>1196</v>
      </c>
      <c r="T23" s="4" t="s">
        <v>800</v>
      </c>
      <c r="U23" s="24">
        <v>56</v>
      </c>
    </row>
    <row r="24" spans="1:25">
      <c r="A24" s="1" t="s">
        <v>8</v>
      </c>
      <c r="B24" s="1" t="s">
        <v>9</v>
      </c>
      <c r="C24" s="1" t="s">
        <v>10</v>
      </c>
      <c r="D24" s="1">
        <v>121</v>
      </c>
      <c r="E24" s="1">
        <v>24</v>
      </c>
      <c r="F24" s="1">
        <v>176</v>
      </c>
      <c r="G24" s="1">
        <v>-31</v>
      </c>
      <c r="H24" s="1">
        <v>96</v>
      </c>
      <c r="I24" s="1" t="s">
        <v>35</v>
      </c>
      <c r="J24">
        <f t="shared" si="0"/>
        <v>-2976</v>
      </c>
      <c r="K24">
        <f t="shared" si="1"/>
        <v>105.5</v>
      </c>
      <c r="L24">
        <f t="shared" si="2"/>
        <v>1.6682464454976302</v>
      </c>
      <c r="M24" t="str" cm="1">
        <f t="array" ref="M24">_xlfn.IFS(G24&lt;50,"Low Stock",G24&lt;100,"Medium Stock",G24&gt;=100,"Healthy Stock")</f>
        <v>Low Stock</v>
      </c>
      <c r="N24" s="21">
        <f t="shared" si="3"/>
        <v>-2976</v>
      </c>
    </row>
    <row r="25" spans="1:25">
      <c r="A25" s="1" t="s">
        <v>165</v>
      </c>
      <c r="B25" s="1" t="s">
        <v>195</v>
      </c>
      <c r="C25" s="1" t="s">
        <v>147</v>
      </c>
      <c r="D25" s="1">
        <v>111</v>
      </c>
      <c r="E25" s="1">
        <v>110</v>
      </c>
      <c r="F25" s="1">
        <v>131</v>
      </c>
      <c r="G25" s="1">
        <v>90</v>
      </c>
      <c r="H25" s="1">
        <v>54</v>
      </c>
      <c r="I25" s="1" t="s">
        <v>34</v>
      </c>
      <c r="J25">
        <f t="shared" si="0"/>
        <v>4860</v>
      </c>
      <c r="K25">
        <f t="shared" si="1"/>
        <v>156</v>
      </c>
      <c r="L25">
        <f t="shared" si="2"/>
        <v>0.83974358974358976</v>
      </c>
      <c r="M25" t="str" cm="1">
        <f t="array" ref="M25">_xlfn.IFS(G25&lt;50,"Low Stock",G25&lt;100,"Medium Stock",G25&gt;=100,"Healthy Stock")</f>
        <v>Medium Stock</v>
      </c>
      <c r="N25" s="21">
        <f t="shared" si="3"/>
        <v>4860</v>
      </c>
    </row>
    <row r="26" spans="1:25">
      <c r="A26" s="1" t="s">
        <v>165</v>
      </c>
      <c r="B26" s="1" t="s">
        <v>195</v>
      </c>
      <c r="C26" s="1" t="s">
        <v>147</v>
      </c>
      <c r="D26" s="1">
        <v>171</v>
      </c>
      <c r="E26" s="1">
        <v>36</v>
      </c>
      <c r="F26" s="1">
        <v>52</v>
      </c>
      <c r="G26" s="1">
        <v>155</v>
      </c>
      <c r="H26" s="1">
        <v>54</v>
      </c>
      <c r="I26" s="1" t="s">
        <v>34</v>
      </c>
      <c r="J26">
        <f t="shared" si="0"/>
        <v>8370</v>
      </c>
      <c r="K26">
        <f t="shared" si="1"/>
        <v>248.5</v>
      </c>
      <c r="L26">
        <f t="shared" si="2"/>
        <v>0.20925553319919518</v>
      </c>
      <c r="M26" t="str" cm="1">
        <f t="array" ref="M26">_xlfn.IFS(G26&lt;50,"Low Stock",G26&lt;100,"Medium Stock",G26&gt;=100,"Healthy Stock")</f>
        <v>Healthy Stock</v>
      </c>
      <c r="N26" s="21">
        <f t="shared" si="3"/>
        <v>8370</v>
      </c>
    </row>
    <row r="27" spans="1:25">
      <c r="A27" s="1" t="s">
        <v>176</v>
      </c>
      <c r="B27" s="1" t="s">
        <v>206</v>
      </c>
      <c r="C27" s="1" t="s">
        <v>146</v>
      </c>
      <c r="D27" s="1">
        <v>126</v>
      </c>
      <c r="E27" s="1">
        <v>145</v>
      </c>
      <c r="F27" s="1">
        <v>33</v>
      </c>
      <c r="G27" s="1">
        <v>238</v>
      </c>
      <c r="H27" s="1">
        <v>118</v>
      </c>
      <c r="I27" s="1" t="s">
        <v>208</v>
      </c>
      <c r="J27">
        <f t="shared" si="0"/>
        <v>28084</v>
      </c>
      <c r="K27">
        <f t="shared" si="1"/>
        <v>245</v>
      </c>
      <c r="L27">
        <f t="shared" si="2"/>
        <v>0.13469387755102041</v>
      </c>
      <c r="M27" t="str" cm="1">
        <f t="array" ref="M27">_xlfn.IFS(G27&lt;50,"Low Stock",G27&lt;100,"Medium Stock",G27&gt;=100,"Healthy Stock")</f>
        <v>Healthy Stock</v>
      </c>
      <c r="N27" s="21">
        <f t="shared" si="3"/>
        <v>28084</v>
      </c>
    </row>
    <row r="28" spans="1:25">
      <c r="A28" s="1" t="s">
        <v>18</v>
      </c>
      <c r="B28" s="1" t="s">
        <v>19</v>
      </c>
      <c r="C28" s="1" t="s">
        <v>146</v>
      </c>
      <c r="D28" s="1">
        <v>111</v>
      </c>
      <c r="E28" s="1">
        <v>117</v>
      </c>
      <c r="F28" s="1">
        <v>60</v>
      </c>
      <c r="G28" s="1">
        <v>168</v>
      </c>
      <c r="H28" s="1">
        <v>42</v>
      </c>
      <c r="I28" s="1" t="s">
        <v>34</v>
      </c>
      <c r="J28">
        <f t="shared" si="0"/>
        <v>7056</v>
      </c>
      <c r="K28">
        <f t="shared" si="1"/>
        <v>195</v>
      </c>
      <c r="L28">
        <f t="shared" si="2"/>
        <v>0.30769230769230771</v>
      </c>
      <c r="M28" t="str" cm="1">
        <f t="array" ref="M28">_xlfn.IFS(G28&lt;50,"Low Stock",G28&lt;100,"Medium Stock",G28&gt;=100,"Healthy Stock")</f>
        <v>Healthy Stock</v>
      </c>
      <c r="N28" s="21">
        <f t="shared" si="3"/>
        <v>7056</v>
      </c>
    </row>
    <row r="29" spans="1:25">
      <c r="A29" s="1" t="s">
        <v>172</v>
      </c>
      <c r="B29" s="1" t="s">
        <v>202</v>
      </c>
      <c r="C29" s="1" t="s">
        <v>17</v>
      </c>
      <c r="D29" s="1">
        <v>181</v>
      </c>
      <c r="E29" s="1">
        <v>108</v>
      </c>
      <c r="F29" s="1">
        <v>31</v>
      </c>
      <c r="G29" s="1">
        <v>258</v>
      </c>
      <c r="H29" s="1">
        <v>106</v>
      </c>
      <c r="I29" s="1" t="s">
        <v>36</v>
      </c>
      <c r="J29">
        <f t="shared" si="0"/>
        <v>27348</v>
      </c>
      <c r="K29">
        <f t="shared" si="1"/>
        <v>310</v>
      </c>
      <c r="L29">
        <f t="shared" si="2"/>
        <v>0.1</v>
      </c>
      <c r="M29" t="str" cm="1">
        <f t="array" ref="M29">_xlfn.IFS(G29&lt;50,"Low Stock",G29&lt;100,"Medium Stock",G29&gt;=100,"Healthy Stock")</f>
        <v>Healthy Stock</v>
      </c>
      <c r="N29" s="21">
        <f t="shared" si="3"/>
        <v>27348</v>
      </c>
    </row>
    <row r="30" spans="1:25">
      <c r="A30" s="1" t="s">
        <v>149</v>
      </c>
      <c r="B30" s="1" t="s">
        <v>179</v>
      </c>
      <c r="C30" s="1" t="s">
        <v>17</v>
      </c>
      <c r="D30" s="1">
        <v>163</v>
      </c>
      <c r="E30" s="1">
        <v>105</v>
      </c>
      <c r="F30" s="1">
        <v>88</v>
      </c>
      <c r="G30" s="1">
        <v>180</v>
      </c>
      <c r="H30" s="1">
        <v>76</v>
      </c>
      <c r="I30" s="1" t="s">
        <v>36</v>
      </c>
      <c r="J30">
        <f t="shared" si="0"/>
        <v>13680</v>
      </c>
      <c r="K30">
        <f t="shared" si="1"/>
        <v>253</v>
      </c>
      <c r="L30">
        <f t="shared" si="2"/>
        <v>0.34782608695652173</v>
      </c>
      <c r="M30" t="str" cm="1">
        <f t="array" ref="M30">_xlfn.IFS(G30&lt;50,"Low Stock",G30&lt;100,"Medium Stock",G30&gt;=100,"Healthy Stock")</f>
        <v>Healthy Stock</v>
      </c>
      <c r="N30" s="21">
        <f t="shared" si="3"/>
        <v>13680</v>
      </c>
    </row>
    <row r="31" spans="1:25">
      <c r="A31" s="1" t="s">
        <v>165</v>
      </c>
      <c r="B31" s="1" t="s">
        <v>195</v>
      </c>
      <c r="C31" s="1" t="s">
        <v>147</v>
      </c>
      <c r="D31" s="1">
        <v>181</v>
      </c>
      <c r="E31" s="1">
        <v>116</v>
      </c>
      <c r="F31" s="1">
        <v>140</v>
      </c>
      <c r="G31" s="1">
        <v>157</v>
      </c>
      <c r="H31" s="1">
        <v>54</v>
      </c>
      <c r="I31" s="1" t="s">
        <v>208</v>
      </c>
      <c r="J31">
        <f t="shared" si="0"/>
        <v>8478</v>
      </c>
      <c r="K31">
        <f t="shared" si="1"/>
        <v>259.5</v>
      </c>
      <c r="L31">
        <f t="shared" si="2"/>
        <v>0.53949903660886322</v>
      </c>
      <c r="M31" t="str" cm="1">
        <f t="array" ref="M31">_xlfn.IFS(G31&lt;50,"Low Stock",G31&lt;100,"Medium Stock",G31&gt;=100,"Healthy Stock")</f>
        <v>Healthy Stock</v>
      </c>
      <c r="N31" s="21">
        <f t="shared" si="3"/>
        <v>8478</v>
      </c>
    </row>
    <row r="32" spans="1:25">
      <c r="A32" s="1" t="s">
        <v>168</v>
      </c>
      <c r="B32" s="1" t="s">
        <v>198</v>
      </c>
      <c r="C32" s="1" t="s">
        <v>17</v>
      </c>
      <c r="D32" s="1">
        <v>150</v>
      </c>
      <c r="E32" s="1">
        <v>124</v>
      </c>
      <c r="F32" s="1">
        <v>114</v>
      </c>
      <c r="G32" s="1">
        <v>160</v>
      </c>
      <c r="H32" s="1">
        <v>72</v>
      </c>
      <c r="I32" s="1" t="s">
        <v>33</v>
      </c>
      <c r="J32">
        <f t="shared" si="0"/>
        <v>11520</v>
      </c>
      <c r="K32">
        <f t="shared" si="1"/>
        <v>230</v>
      </c>
      <c r="L32">
        <f t="shared" si="2"/>
        <v>0.4956521739130435</v>
      </c>
      <c r="M32" t="str" cm="1">
        <f t="array" ref="M32">_xlfn.IFS(G32&lt;50,"Low Stock",G32&lt;100,"Medium Stock",G32&gt;=100,"Healthy Stock")</f>
        <v>Healthy Stock</v>
      </c>
      <c r="N32" s="21">
        <f t="shared" si="3"/>
        <v>11520</v>
      </c>
    </row>
    <row r="33" spans="1:14">
      <c r="A33" s="1" t="s">
        <v>157</v>
      </c>
      <c r="B33" s="1" t="s">
        <v>187</v>
      </c>
      <c r="C33" s="1" t="s">
        <v>7</v>
      </c>
      <c r="D33" s="1">
        <v>109</v>
      </c>
      <c r="E33" s="1">
        <v>65</v>
      </c>
      <c r="F33" s="1">
        <v>46</v>
      </c>
      <c r="G33" s="1">
        <v>128</v>
      </c>
      <c r="H33" s="1">
        <v>10</v>
      </c>
      <c r="I33" s="1" t="s">
        <v>36</v>
      </c>
      <c r="J33">
        <f t="shared" si="0"/>
        <v>1280</v>
      </c>
      <c r="K33">
        <f t="shared" si="1"/>
        <v>173</v>
      </c>
      <c r="L33">
        <f t="shared" si="2"/>
        <v>0.26589595375722541</v>
      </c>
      <c r="M33" t="str" cm="1">
        <f t="array" ref="M33">_xlfn.IFS(G33&lt;50,"Low Stock",G33&lt;100,"Medium Stock",G33&gt;=100,"Healthy Stock")</f>
        <v>Healthy Stock</v>
      </c>
      <c r="N33" s="21">
        <f t="shared" si="3"/>
        <v>1280</v>
      </c>
    </row>
    <row r="34" spans="1:14">
      <c r="A34" s="1" t="s">
        <v>11</v>
      </c>
      <c r="B34" s="1" t="s">
        <v>12</v>
      </c>
      <c r="C34" s="1" t="s">
        <v>147</v>
      </c>
      <c r="D34" s="1">
        <v>178</v>
      </c>
      <c r="E34" s="1">
        <v>23</v>
      </c>
      <c r="F34" s="1">
        <v>102</v>
      </c>
      <c r="G34" s="1">
        <v>99</v>
      </c>
      <c r="H34" s="1">
        <v>66</v>
      </c>
      <c r="I34" s="1" t="s">
        <v>36</v>
      </c>
      <c r="J34">
        <f t="shared" si="0"/>
        <v>6534</v>
      </c>
      <c r="K34">
        <f t="shared" si="1"/>
        <v>227.5</v>
      </c>
      <c r="L34">
        <f t="shared" si="2"/>
        <v>0.44835164835164837</v>
      </c>
      <c r="M34" t="str" cm="1">
        <f t="array" ref="M34">_xlfn.IFS(G34&lt;50,"Low Stock",G34&lt;100,"Medium Stock",G34&gt;=100,"Healthy Stock")</f>
        <v>Medium Stock</v>
      </c>
      <c r="N34" s="21">
        <f t="shared" si="3"/>
        <v>6534</v>
      </c>
    </row>
    <row r="35" spans="1:14">
      <c r="A35" s="1" t="s">
        <v>167</v>
      </c>
      <c r="B35" s="1" t="s">
        <v>197</v>
      </c>
      <c r="C35" s="1" t="s">
        <v>17</v>
      </c>
      <c r="D35" s="1">
        <v>142</v>
      </c>
      <c r="E35" s="1">
        <v>23</v>
      </c>
      <c r="F35" s="1">
        <v>57</v>
      </c>
      <c r="G35" s="1">
        <v>108</v>
      </c>
      <c r="H35" s="1">
        <v>55</v>
      </c>
      <c r="I35" s="1" t="s">
        <v>34</v>
      </c>
      <c r="J35">
        <f t="shared" si="0"/>
        <v>5940</v>
      </c>
      <c r="K35">
        <f t="shared" si="1"/>
        <v>196</v>
      </c>
      <c r="L35">
        <f t="shared" si="2"/>
        <v>0.29081632653061223</v>
      </c>
      <c r="M35" t="str" cm="1">
        <f t="array" ref="M35">_xlfn.IFS(G35&lt;50,"Low Stock",G35&lt;100,"Medium Stock",G35&gt;=100,"Healthy Stock")</f>
        <v>Healthy Stock</v>
      </c>
      <c r="N35" s="21">
        <f t="shared" si="3"/>
        <v>5940</v>
      </c>
    </row>
    <row r="36" spans="1:14">
      <c r="A36" s="1" t="s">
        <v>169</v>
      </c>
      <c r="B36" s="1" t="s">
        <v>199</v>
      </c>
      <c r="C36" s="1" t="s">
        <v>10</v>
      </c>
      <c r="D36" s="1">
        <v>181</v>
      </c>
      <c r="E36" s="1">
        <v>94</v>
      </c>
      <c r="F36" s="1">
        <v>167</v>
      </c>
      <c r="G36" s="1">
        <v>108</v>
      </c>
      <c r="H36" s="1">
        <v>85</v>
      </c>
      <c r="I36" s="1" t="s">
        <v>35</v>
      </c>
      <c r="J36">
        <f t="shared" si="0"/>
        <v>9180</v>
      </c>
      <c r="K36">
        <f t="shared" si="1"/>
        <v>235</v>
      </c>
      <c r="L36">
        <f t="shared" si="2"/>
        <v>0.71063829787234045</v>
      </c>
      <c r="M36" t="str" cm="1">
        <f t="array" ref="M36">_xlfn.IFS(G36&lt;50,"Low Stock",G36&lt;100,"Medium Stock",G36&gt;=100,"Healthy Stock")</f>
        <v>Healthy Stock</v>
      </c>
      <c r="N36" s="21">
        <f t="shared" si="3"/>
        <v>9180</v>
      </c>
    </row>
    <row r="37" spans="1:14">
      <c r="A37" s="1" t="s">
        <v>154</v>
      </c>
      <c r="B37" s="1" t="s">
        <v>184</v>
      </c>
      <c r="C37" s="1" t="s">
        <v>17</v>
      </c>
      <c r="D37" s="1">
        <v>160</v>
      </c>
      <c r="E37" s="1">
        <v>42</v>
      </c>
      <c r="F37" s="1">
        <v>36</v>
      </c>
      <c r="G37" s="1">
        <v>166</v>
      </c>
      <c r="H37" s="1">
        <v>98</v>
      </c>
      <c r="I37" s="1" t="s">
        <v>36</v>
      </c>
      <c r="J37">
        <f t="shared" si="0"/>
        <v>16268</v>
      </c>
      <c r="K37">
        <f t="shared" si="1"/>
        <v>243</v>
      </c>
      <c r="L37">
        <f t="shared" si="2"/>
        <v>0.14814814814814814</v>
      </c>
      <c r="M37" t="str" cm="1">
        <f t="array" ref="M37">_xlfn.IFS(G37&lt;50,"Low Stock",G37&lt;100,"Medium Stock",G37&gt;=100,"Healthy Stock")</f>
        <v>Healthy Stock</v>
      </c>
      <c r="N37" s="21">
        <f t="shared" si="3"/>
        <v>16268</v>
      </c>
    </row>
    <row r="38" spans="1:14">
      <c r="A38" s="1" t="s">
        <v>20</v>
      </c>
      <c r="B38" s="1" t="s">
        <v>21</v>
      </c>
      <c r="C38" s="1" t="s">
        <v>10</v>
      </c>
      <c r="D38" s="1">
        <v>153</v>
      </c>
      <c r="E38" s="1">
        <v>33</v>
      </c>
      <c r="F38" s="1">
        <v>125</v>
      </c>
      <c r="G38" s="1">
        <v>61</v>
      </c>
      <c r="H38" s="1">
        <v>75</v>
      </c>
      <c r="I38" s="1" t="s">
        <v>33</v>
      </c>
      <c r="J38">
        <f t="shared" si="0"/>
        <v>4575</v>
      </c>
      <c r="K38">
        <f t="shared" si="1"/>
        <v>183.5</v>
      </c>
      <c r="L38">
        <f t="shared" si="2"/>
        <v>0.68119891008174382</v>
      </c>
      <c r="M38" t="str" cm="1">
        <f t="array" ref="M38">_xlfn.IFS(G38&lt;50,"Low Stock",G38&lt;100,"Medium Stock",G38&gt;=100,"Healthy Stock")</f>
        <v>Medium Stock</v>
      </c>
      <c r="N38" s="21">
        <f t="shared" si="3"/>
        <v>4575</v>
      </c>
    </row>
    <row r="39" spans="1:14">
      <c r="A39" s="1" t="s">
        <v>175</v>
      </c>
      <c r="B39" s="1" t="s">
        <v>205</v>
      </c>
      <c r="C39" s="1" t="s">
        <v>10</v>
      </c>
      <c r="D39" s="1">
        <v>168</v>
      </c>
      <c r="E39" s="1">
        <v>139</v>
      </c>
      <c r="F39" s="1">
        <v>70</v>
      </c>
      <c r="G39" s="1">
        <v>237</v>
      </c>
      <c r="H39" s="1">
        <v>63</v>
      </c>
      <c r="I39" s="1" t="s">
        <v>36</v>
      </c>
      <c r="J39">
        <f t="shared" si="0"/>
        <v>14931</v>
      </c>
      <c r="K39">
        <f t="shared" si="1"/>
        <v>286.5</v>
      </c>
      <c r="L39">
        <f t="shared" si="2"/>
        <v>0.24432809773123909</v>
      </c>
      <c r="M39" t="str" cm="1">
        <f t="array" ref="M39">_xlfn.IFS(G39&lt;50,"Low Stock",G39&lt;100,"Medium Stock",G39&gt;=100,"Healthy Stock")</f>
        <v>Healthy Stock</v>
      </c>
      <c r="N39" s="21">
        <f t="shared" si="3"/>
        <v>14931</v>
      </c>
    </row>
    <row r="40" spans="1:14">
      <c r="A40" s="1" t="s">
        <v>173</v>
      </c>
      <c r="B40" s="1" t="s">
        <v>203</v>
      </c>
      <c r="C40" s="1" t="s">
        <v>17</v>
      </c>
      <c r="D40" s="1">
        <v>194</v>
      </c>
      <c r="E40" s="1">
        <v>127</v>
      </c>
      <c r="F40" s="1">
        <v>128</v>
      </c>
      <c r="G40" s="1">
        <v>193</v>
      </c>
      <c r="H40" s="1">
        <v>69</v>
      </c>
      <c r="I40" s="1" t="s">
        <v>33</v>
      </c>
      <c r="J40">
        <f t="shared" si="0"/>
        <v>13317</v>
      </c>
      <c r="K40">
        <f t="shared" si="1"/>
        <v>290.5</v>
      </c>
      <c r="L40">
        <f t="shared" si="2"/>
        <v>0.44061962134251292</v>
      </c>
      <c r="M40" t="str" cm="1">
        <f t="array" ref="M40">_xlfn.IFS(G40&lt;50,"Low Stock",G40&lt;100,"Medium Stock",G40&gt;=100,"Healthy Stock")</f>
        <v>Healthy Stock</v>
      </c>
      <c r="N40" s="21">
        <f t="shared" si="3"/>
        <v>13317</v>
      </c>
    </row>
    <row r="41" spans="1:14">
      <c r="A41" s="1" t="s">
        <v>174</v>
      </c>
      <c r="B41" s="1" t="s">
        <v>204</v>
      </c>
      <c r="C41" s="1" t="s">
        <v>7</v>
      </c>
      <c r="D41" s="1">
        <v>146</v>
      </c>
      <c r="E41" s="1">
        <v>46</v>
      </c>
      <c r="F41" s="1">
        <v>180</v>
      </c>
      <c r="G41" s="1">
        <v>12</v>
      </c>
      <c r="H41" s="1">
        <v>105</v>
      </c>
      <c r="I41" s="1" t="s">
        <v>36</v>
      </c>
      <c r="J41">
        <f t="shared" si="0"/>
        <v>1260</v>
      </c>
      <c r="K41">
        <f t="shared" si="1"/>
        <v>152</v>
      </c>
      <c r="L41">
        <f t="shared" si="2"/>
        <v>1.1842105263157894</v>
      </c>
      <c r="M41" t="str" cm="1">
        <f t="array" ref="M41">_xlfn.IFS(G41&lt;50,"Low Stock",G41&lt;100,"Medium Stock",G41&gt;=100,"Healthy Stock")</f>
        <v>Low Stock</v>
      </c>
      <c r="N41" s="21">
        <f t="shared" si="3"/>
        <v>1260</v>
      </c>
    </row>
    <row r="42" spans="1:14">
      <c r="A42" s="1" t="s">
        <v>26</v>
      </c>
      <c r="B42" s="1" t="s">
        <v>27</v>
      </c>
      <c r="C42" s="1" t="s">
        <v>147</v>
      </c>
      <c r="D42" s="1">
        <v>134</v>
      </c>
      <c r="E42" s="1">
        <v>146</v>
      </c>
      <c r="F42" s="1">
        <v>148</v>
      </c>
      <c r="G42" s="1">
        <v>132</v>
      </c>
      <c r="H42" s="1">
        <v>94</v>
      </c>
      <c r="I42" s="1" t="s">
        <v>34</v>
      </c>
      <c r="J42">
        <f t="shared" si="0"/>
        <v>12408</v>
      </c>
      <c r="K42">
        <f t="shared" si="1"/>
        <v>200</v>
      </c>
      <c r="L42">
        <f t="shared" si="2"/>
        <v>0.74</v>
      </c>
      <c r="M42" t="str" cm="1">
        <f t="array" ref="M42">_xlfn.IFS(G42&lt;50,"Low Stock",G42&lt;100,"Medium Stock",G42&gt;=100,"Healthy Stock")</f>
        <v>Healthy Stock</v>
      </c>
      <c r="N42" s="21">
        <f t="shared" si="3"/>
        <v>12408</v>
      </c>
    </row>
    <row r="43" spans="1:14">
      <c r="A43" s="1" t="s">
        <v>164</v>
      </c>
      <c r="B43" s="1" t="s">
        <v>194</v>
      </c>
      <c r="C43" s="1" t="s">
        <v>147</v>
      </c>
      <c r="D43" s="1">
        <v>128</v>
      </c>
      <c r="E43" s="1">
        <v>71</v>
      </c>
      <c r="F43" s="1">
        <v>75</v>
      </c>
      <c r="G43" s="1">
        <v>124</v>
      </c>
      <c r="H43" s="1">
        <v>92</v>
      </c>
      <c r="I43" s="1" t="s">
        <v>35</v>
      </c>
      <c r="J43">
        <f t="shared" si="0"/>
        <v>11408</v>
      </c>
      <c r="K43">
        <f t="shared" si="1"/>
        <v>190</v>
      </c>
      <c r="L43">
        <f t="shared" si="2"/>
        <v>0.39473684210526316</v>
      </c>
      <c r="M43" t="str" cm="1">
        <f t="array" ref="M43">_xlfn.IFS(G43&lt;50,"Low Stock",G43&lt;100,"Medium Stock",G43&gt;=100,"Healthy Stock")</f>
        <v>Healthy Stock</v>
      </c>
      <c r="N43" s="21">
        <f t="shared" si="3"/>
        <v>11408</v>
      </c>
    </row>
    <row r="44" spans="1:14">
      <c r="A44" s="1" t="s">
        <v>167</v>
      </c>
      <c r="B44" s="1" t="s">
        <v>197</v>
      </c>
      <c r="C44" s="1" t="s">
        <v>17</v>
      </c>
      <c r="D44" s="1">
        <v>90</v>
      </c>
      <c r="E44" s="1">
        <v>73</v>
      </c>
      <c r="F44" s="1">
        <v>40</v>
      </c>
      <c r="G44" s="1">
        <v>123</v>
      </c>
      <c r="H44" s="1">
        <v>55</v>
      </c>
      <c r="I44" s="1" t="s">
        <v>33</v>
      </c>
      <c r="J44">
        <f t="shared" si="0"/>
        <v>6765</v>
      </c>
      <c r="K44">
        <f t="shared" si="1"/>
        <v>151.5</v>
      </c>
      <c r="L44">
        <f t="shared" si="2"/>
        <v>0.264026402640264</v>
      </c>
      <c r="M44" t="str" cm="1">
        <f t="array" ref="M44">_xlfn.IFS(G44&lt;50,"Low Stock",G44&lt;100,"Medium Stock",G44&gt;=100,"Healthy Stock")</f>
        <v>Healthy Stock</v>
      </c>
      <c r="N44" s="21">
        <f t="shared" si="3"/>
        <v>6765</v>
      </c>
    </row>
    <row r="45" spans="1:14">
      <c r="A45" s="1" t="s">
        <v>8</v>
      </c>
      <c r="B45" s="1" t="s">
        <v>9</v>
      </c>
      <c r="C45" s="1" t="s">
        <v>10</v>
      </c>
      <c r="D45" s="1">
        <v>106</v>
      </c>
      <c r="E45" s="1">
        <v>62</v>
      </c>
      <c r="F45" s="1">
        <v>153</v>
      </c>
      <c r="G45" s="1">
        <v>15</v>
      </c>
      <c r="H45" s="1">
        <v>96</v>
      </c>
      <c r="I45" s="1" t="s">
        <v>33</v>
      </c>
      <c r="J45">
        <f t="shared" si="0"/>
        <v>1440</v>
      </c>
      <c r="K45">
        <f t="shared" si="1"/>
        <v>113.5</v>
      </c>
      <c r="L45">
        <f t="shared" si="2"/>
        <v>1.3480176211453745</v>
      </c>
      <c r="M45" t="str" cm="1">
        <f t="array" ref="M45">_xlfn.IFS(G45&lt;50,"Low Stock",G45&lt;100,"Medium Stock",G45&gt;=100,"Healthy Stock")</f>
        <v>Low Stock</v>
      </c>
      <c r="N45" s="21">
        <f t="shared" si="3"/>
        <v>1440</v>
      </c>
    </row>
    <row r="46" spans="1:14">
      <c r="A46" s="1" t="s">
        <v>158</v>
      </c>
      <c r="B46" s="1" t="s">
        <v>188</v>
      </c>
      <c r="C46" s="1" t="s">
        <v>10</v>
      </c>
      <c r="D46" s="1">
        <v>86</v>
      </c>
      <c r="E46" s="1">
        <v>73</v>
      </c>
      <c r="F46" s="1">
        <v>136</v>
      </c>
      <c r="G46" s="1">
        <v>23</v>
      </c>
      <c r="H46" s="1">
        <v>43</v>
      </c>
      <c r="I46" s="1" t="s">
        <v>33</v>
      </c>
      <c r="J46">
        <f t="shared" si="0"/>
        <v>989</v>
      </c>
      <c r="K46">
        <f t="shared" si="1"/>
        <v>97.5</v>
      </c>
      <c r="L46">
        <f t="shared" si="2"/>
        <v>1.3948717948717948</v>
      </c>
      <c r="M46" t="str" cm="1">
        <f t="array" ref="M46">_xlfn.IFS(G46&lt;50,"Low Stock",G46&lt;100,"Medium Stock",G46&gt;=100,"Healthy Stock")</f>
        <v>Low Stock</v>
      </c>
      <c r="N46" s="21">
        <f t="shared" si="3"/>
        <v>989</v>
      </c>
    </row>
    <row r="47" spans="1:14">
      <c r="A47" s="1" t="s">
        <v>20</v>
      </c>
      <c r="B47" s="1" t="s">
        <v>21</v>
      </c>
      <c r="C47" s="1" t="s">
        <v>10</v>
      </c>
      <c r="D47" s="1">
        <v>130</v>
      </c>
      <c r="E47" s="1">
        <v>107</v>
      </c>
      <c r="F47" s="1">
        <v>135</v>
      </c>
      <c r="G47" s="1">
        <v>102</v>
      </c>
      <c r="H47" s="1">
        <v>75</v>
      </c>
      <c r="I47" s="1" t="s">
        <v>34</v>
      </c>
      <c r="J47">
        <f t="shared" si="0"/>
        <v>7650</v>
      </c>
      <c r="K47">
        <f t="shared" si="1"/>
        <v>181</v>
      </c>
      <c r="L47">
        <f t="shared" si="2"/>
        <v>0.7458563535911602</v>
      </c>
      <c r="M47" t="str" cm="1">
        <f t="array" ref="M47">_xlfn.IFS(G47&lt;50,"Low Stock",G47&lt;100,"Medium Stock",G47&gt;=100,"Healthy Stock")</f>
        <v>Healthy Stock</v>
      </c>
      <c r="N47" s="21">
        <f t="shared" si="3"/>
        <v>7650</v>
      </c>
    </row>
    <row r="48" spans="1:14">
      <c r="A48" s="1" t="s">
        <v>20</v>
      </c>
      <c r="B48" s="1" t="s">
        <v>21</v>
      </c>
      <c r="C48" s="1" t="s">
        <v>10</v>
      </c>
      <c r="D48" s="1">
        <v>181</v>
      </c>
      <c r="E48" s="1">
        <v>109</v>
      </c>
      <c r="F48" s="1">
        <v>146</v>
      </c>
      <c r="G48" s="1">
        <v>144</v>
      </c>
      <c r="H48" s="1">
        <v>75</v>
      </c>
      <c r="I48" s="1" t="s">
        <v>33</v>
      </c>
      <c r="J48">
        <f t="shared" si="0"/>
        <v>10800</v>
      </c>
      <c r="K48">
        <f t="shared" si="1"/>
        <v>253</v>
      </c>
      <c r="L48">
        <f t="shared" si="2"/>
        <v>0.57707509881422925</v>
      </c>
      <c r="M48" t="str" cm="1">
        <f t="array" ref="M48">_xlfn.IFS(G48&lt;50,"Low Stock",G48&lt;100,"Medium Stock",G48&gt;=100,"Healthy Stock")</f>
        <v>Healthy Stock</v>
      </c>
      <c r="N48" s="21">
        <f t="shared" si="3"/>
        <v>10800</v>
      </c>
    </row>
    <row r="49" spans="1:14">
      <c r="A49" s="1" t="s">
        <v>160</v>
      </c>
      <c r="B49" s="1" t="s">
        <v>190</v>
      </c>
      <c r="C49" s="1" t="s">
        <v>7</v>
      </c>
      <c r="D49" s="1">
        <v>179</v>
      </c>
      <c r="E49" s="1">
        <v>114</v>
      </c>
      <c r="F49" s="1">
        <v>48</v>
      </c>
      <c r="G49" s="1">
        <v>245</v>
      </c>
      <c r="H49" s="1">
        <v>11</v>
      </c>
      <c r="I49" s="1" t="s">
        <v>33</v>
      </c>
      <c r="J49">
        <f t="shared" si="0"/>
        <v>2695</v>
      </c>
      <c r="K49">
        <f t="shared" si="1"/>
        <v>301.5</v>
      </c>
      <c r="L49">
        <f t="shared" si="2"/>
        <v>0.15920398009950248</v>
      </c>
      <c r="M49" t="str" cm="1">
        <f t="array" ref="M49">_xlfn.IFS(G49&lt;50,"Low Stock",G49&lt;100,"Medium Stock",G49&gt;=100,"Healthy Stock")</f>
        <v>Healthy Stock</v>
      </c>
      <c r="N49" s="21">
        <f t="shared" si="3"/>
        <v>2695</v>
      </c>
    </row>
    <row r="50" spans="1:14">
      <c r="A50" s="1" t="s">
        <v>162</v>
      </c>
      <c r="B50" s="1" t="s">
        <v>192</v>
      </c>
      <c r="C50" s="1" t="s">
        <v>146</v>
      </c>
      <c r="D50" s="1">
        <v>54</v>
      </c>
      <c r="E50" s="1">
        <v>78</v>
      </c>
      <c r="F50" s="1">
        <v>136</v>
      </c>
      <c r="G50" s="1">
        <v>-4</v>
      </c>
      <c r="H50" s="1">
        <v>113</v>
      </c>
      <c r="I50" s="1" t="s">
        <v>208</v>
      </c>
      <c r="J50">
        <f t="shared" si="0"/>
        <v>-452</v>
      </c>
      <c r="K50">
        <f t="shared" si="1"/>
        <v>52</v>
      </c>
      <c r="L50">
        <f t="shared" si="2"/>
        <v>2.6153846153846154</v>
      </c>
      <c r="M50" t="str" cm="1">
        <f t="array" ref="M50">_xlfn.IFS(G50&lt;50,"Low Stock",G50&lt;100,"Medium Stock",G50&gt;=100,"Healthy Stock")</f>
        <v>Low Stock</v>
      </c>
      <c r="N50" s="21">
        <f t="shared" si="3"/>
        <v>-452</v>
      </c>
    </row>
    <row r="51" spans="1:14">
      <c r="A51" s="1" t="s">
        <v>5</v>
      </c>
      <c r="B51" s="1" t="s">
        <v>6</v>
      </c>
      <c r="C51" s="1" t="s">
        <v>7</v>
      </c>
      <c r="D51" s="1">
        <v>105</v>
      </c>
      <c r="E51" s="1">
        <v>95</v>
      </c>
      <c r="F51" s="1">
        <v>145</v>
      </c>
      <c r="G51" s="1">
        <v>55</v>
      </c>
      <c r="H51" s="1">
        <v>46</v>
      </c>
      <c r="I51" s="1" t="s">
        <v>34</v>
      </c>
      <c r="J51">
        <f t="shared" si="0"/>
        <v>2530</v>
      </c>
      <c r="K51">
        <f t="shared" si="1"/>
        <v>132.5</v>
      </c>
      <c r="L51">
        <f t="shared" si="2"/>
        <v>1.0943396226415094</v>
      </c>
      <c r="M51" t="str" cm="1">
        <f t="array" ref="M51">_xlfn.IFS(G51&lt;50,"Low Stock",G51&lt;100,"Medium Stock",G51&gt;=100,"Healthy Stock")</f>
        <v>Medium Stock</v>
      </c>
      <c r="N51" s="21">
        <f t="shared" si="3"/>
        <v>2530</v>
      </c>
    </row>
    <row r="52" spans="1:14">
      <c r="A52" s="1" t="s">
        <v>11</v>
      </c>
      <c r="B52" s="1" t="s">
        <v>12</v>
      </c>
      <c r="C52" s="1" t="s">
        <v>147</v>
      </c>
      <c r="D52" s="1">
        <v>98</v>
      </c>
      <c r="E52" s="1">
        <v>32</v>
      </c>
      <c r="F52" s="1">
        <v>117</v>
      </c>
      <c r="G52" s="1">
        <v>13</v>
      </c>
      <c r="H52" s="1">
        <v>66</v>
      </c>
      <c r="I52" s="1" t="s">
        <v>33</v>
      </c>
      <c r="J52">
        <f t="shared" si="0"/>
        <v>858</v>
      </c>
      <c r="K52">
        <f t="shared" si="1"/>
        <v>104.5</v>
      </c>
      <c r="L52">
        <f t="shared" si="2"/>
        <v>1.1196172248803828</v>
      </c>
      <c r="M52" t="str" cm="1">
        <f t="array" ref="M52">_xlfn.IFS(G52&lt;50,"Low Stock",G52&lt;100,"Medium Stock",G52&gt;=100,"Healthy Stock")</f>
        <v>Low Stock</v>
      </c>
      <c r="N52" s="21">
        <f t="shared" si="3"/>
        <v>858</v>
      </c>
    </row>
    <row r="53" spans="1:14">
      <c r="A53" s="1" t="s">
        <v>22</v>
      </c>
      <c r="B53" s="1" t="s">
        <v>23</v>
      </c>
      <c r="C53" s="1" t="s">
        <v>10</v>
      </c>
      <c r="D53" s="1">
        <v>79</v>
      </c>
      <c r="E53" s="1">
        <v>76</v>
      </c>
      <c r="F53" s="1">
        <v>84</v>
      </c>
      <c r="G53" s="1">
        <v>71</v>
      </c>
      <c r="H53" s="1">
        <v>46</v>
      </c>
      <c r="I53" s="1" t="s">
        <v>35</v>
      </c>
      <c r="J53">
        <f t="shared" si="0"/>
        <v>3266</v>
      </c>
      <c r="K53">
        <f t="shared" si="1"/>
        <v>114.5</v>
      </c>
      <c r="L53">
        <f t="shared" si="2"/>
        <v>0.73362445414847166</v>
      </c>
      <c r="M53" t="str" cm="1">
        <f t="array" ref="M53">_xlfn.IFS(G53&lt;50,"Low Stock",G53&lt;100,"Medium Stock",G53&gt;=100,"Healthy Stock")</f>
        <v>Medium Stock</v>
      </c>
      <c r="N53" s="21">
        <f t="shared" si="3"/>
        <v>3266</v>
      </c>
    </row>
    <row r="54" spans="1:14">
      <c r="A54" s="1" t="s">
        <v>11</v>
      </c>
      <c r="B54" s="1" t="s">
        <v>12</v>
      </c>
      <c r="C54" s="1" t="s">
        <v>147</v>
      </c>
      <c r="D54" s="1">
        <v>176</v>
      </c>
      <c r="E54" s="1">
        <v>59</v>
      </c>
      <c r="F54" s="1">
        <v>75</v>
      </c>
      <c r="G54" s="1">
        <v>160</v>
      </c>
      <c r="H54" s="1">
        <v>66</v>
      </c>
      <c r="I54" s="1" t="s">
        <v>34</v>
      </c>
      <c r="J54">
        <f t="shared" si="0"/>
        <v>10560</v>
      </c>
      <c r="K54">
        <f t="shared" si="1"/>
        <v>256</v>
      </c>
      <c r="L54">
        <f t="shared" si="2"/>
        <v>0.29296875</v>
      </c>
      <c r="M54" t="str" cm="1">
        <f t="array" ref="M54">_xlfn.IFS(G54&lt;50,"Low Stock",G54&lt;100,"Medium Stock",G54&gt;=100,"Healthy Stock")</f>
        <v>Healthy Stock</v>
      </c>
      <c r="N54" s="21">
        <f t="shared" si="3"/>
        <v>10560</v>
      </c>
    </row>
    <row r="55" spans="1:14">
      <c r="A55" s="1" t="s">
        <v>18</v>
      </c>
      <c r="B55" s="1" t="s">
        <v>19</v>
      </c>
      <c r="C55" s="1" t="s">
        <v>146</v>
      </c>
      <c r="D55" s="1">
        <v>52</v>
      </c>
      <c r="E55" s="1">
        <v>78</v>
      </c>
      <c r="F55" s="1">
        <v>178</v>
      </c>
      <c r="G55" s="1">
        <v>-48</v>
      </c>
      <c r="H55" s="1">
        <v>42</v>
      </c>
      <c r="I55" s="1" t="s">
        <v>34</v>
      </c>
      <c r="J55">
        <f t="shared" si="0"/>
        <v>-2016</v>
      </c>
      <c r="K55">
        <f t="shared" si="1"/>
        <v>28</v>
      </c>
      <c r="L55">
        <f t="shared" si="2"/>
        <v>6.3571428571428568</v>
      </c>
      <c r="M55" t="str" cm="1">
        <f t="array" ref="M55">_xlfn.IFS(G55&lt;50,"Low Stock",G55&lt;100,"Medium Stock",G55&gt;=100,"Healthy Stock")</f>
        <v>Low Stock</v>
      </c>
      <c r="N55" s="21">
        <f t="shared" si="3"/>
        <v>-2016</v>
      </c>
    </row>
    <row r="56" spans="1:14">
      <c r="A56" s="1" t="s">
        <v>159</v>
      </c>
      <c r="B56" s="1" t="s">
        <v>189</v>
      </c>
      <c r="C56" s="1" t="s">
        <v>146</v>
      </c>
      <c r="D56" s="1">
        <v>196</v>
      </c>
      <c r="E56" s="1">
        <v>46</v>
      </c>
      <c r="F56" s="1">
        <v>157</v>
      </c>
      <c r="G56" s="1">
        <v>85</v>
      </c>
      <c r="H56" s="1">
        <v>61</v>
      </c>
      <c r="I56" s="1" t="s">
        <v>35</v>
      </c>
      <c r="J56">
        <f t="shared" si="0"/>
        <v>5185</v>
      </c>
      <c r="K56">
        <f t="shared" si="1"/>
        <v>238.5</v>
      </c>
      <c r="L56">
        <f t="shared" si="2"/>
        <v>0.65828092243186587</v>
      </c>
      <c r="M56" t="str" cm="1">
        <f t="array" ref="M56">_xlfn.IFS(G56&lt;50,"Low Stock",G56&lt;100,"Medium Stock",G56&gt;=100,"Healthy Stock")</f>
        <v>Medium Stock</v>
      </c>
      <c r="N56" s="21">
        <f t="shared" si="3"/>
        <v>5185</v>
      </c>
    </row>
    <row r="57" spans="1:14">
      <c r="A57" s="1" t="s">
        <v>13</v>
      </c>
      <c r="B57" s="1" t="s">
        <v>14</v>
      </c>
      <c r="C57" s="1" t="s">
        <v>147</v>
      </c>
      <c r="D57" s="1">
        <v>73</v>
      </c>
      <c r="E57" s="1">
        <v>88</v>
      </c>
      <c r="F57" s="1">
        <v>153</v>
      </c>
      <c r="G57" s="1">
        <v>8</v>
      </c>
      <c r="H57" s="1">
        <v>75</v>
      </c>
      <c r="I57" s="1" t="s">
        <v>33</v>
      </c>
      <c r="J57">
        <f t="shared" si="0"/>
        <v>600</v>
      </c>
      <c r="K57">
        <f t="shared" si="1"/>
        <v>77</v>
      </c>
      <c r="L57">
        <f t="shared" si="2"/>
        <v>1.9870129870129871</v>
      </c>
      <c r="M57" t="str" cm="1">
        <f t="array" ref="M57">_xlfn.IFS(G57&lt;50,"Low Stock",G57&lt;100,"Medium Stock",G57&gt;=100,"Healthy Stock")</f>
        <v>Low Stock</v>
      </c>
      <c r="N57" s="21">
        <f t="shared" si="3"/>
        <v>600</v>
      </c>
    </row>
    <row r="58" spans="1:14">
      <c r="A58" s="1" t="s">
        <v>20</v>
      </c>
      <c r="B58" s="1" t="s">
        <v>21</v>
      </c>
      <c r="C58" s="1" t="s">
        <v>10</v>
      </c>
      <c r="D58" s="1">
        <v>146</v>
      </c>
      <c r="E58" s="1">
        <v>117</v>
      </c>
      <c r="F58" s="1">
        <v>46</v>
      </c>
      <c r="G58" s="1">
        <v>217</v>
      </c>
      <c r="H58" s="1">
        <v>75</v>
      </c>
      <c r="I58" s="1" t="s">
        <v>33</v>
      </c>
      <c r="J58">
        <f t="shared" si="0"/>
        <v>16275</v>
      </c>
      <c r="K58">
        <f t="shared" si="1"/>
        <v>254.5</v>
      </c>
      <c r="L58">
        <f t="shared" si="2"/>
        <v>0.18074656188605109</v>
      </c>
      <c r="M58" t="str" cm="1">
        <f t="array" ref="M58">_xlfn.IFS(G58&lt;50,"Low Stock",G58&lt;100,"Medium Stock",G58&gt;=100,"Healthy Stock")</f>
        <v>Healthy Stock</v>
      </c>
      <c r="N58" s="21">
        <f t="shared" si="3"/>
        <v>16275</v>
      </c>
    </row>
    <row r="59" spans="1:14">
      <c r="A59" s="1" t="s">
        <v>156</v>
      </c>
      <c r="B59" s="1" t="s">
        <v>186</v>
      </c>
      <c r="C59" s="1" t="s">
        <v>147</v>
      </c>
      <c r="D59" s="1">
        <v>127</v>
      </c>
      <c r="E59" s="1">
        <v>97</v>
      </c>
      <c r="F59" s="1">
        <v>70</v>
      </c>
      <c r="G59" s="1">
        <v>154</v>
      </c>
      <c r="H59" s="1">
        <v>21</v>
      </c>
      <c r="I59" s="1" t="s">
        <v>34</v>
      </c>
      <c r="J59">
        <f t="shared" si="0"/>
        <v>3234</v>
      </c>
      <c r="K59">
        <f t="shared" si="1"/>
        <v>204</v>
      </c>
      <c r="L59">
        <f t="shared" si="2"/>
        <v>0.34313725490196079</v>
      </c>
      <c r="M59" t="str" cm="1">
        <f t="array" ref="M59">_xlfn.IFS(G59&lt;50,"Low Stock",G59&lt;100,"Medium Stock",G59&gt;=100,"Healthy Stock")</f>
        <v>Healthy Stock</v>
      </c>
      <c r="N59" s="21">
        <f t="shared" si="3"/>
        <v>3234</v>
      </c>
    </row>
    <row r="60" spans="1:14">
      <c r="A60" s="1" t="s">
        <v>24</v>
      </c>
      <c r="B60" s="1" t="s">
        <v>25</v>
      </c>
      <c r="C60" s="1" t="s">
        <v>146</v>
      </c>
      <c r="D60" s="1">
        <v>56</v>
      </c>
      <c r="E60" s="1">
        <v>100</v>
      </c>
      <c r="F60" s="1">
        <v>91</v>
      </c>
      <c r="G60" s="1">
        <v>65</v>
      </c>
      <c r="H60" s="1">
        <v>72</v>
      </c>
      <c r="I60" s="1" t="s">
        <v>35</v>
      </c>
      <c r="J60">
        <f t="shared" si="0"/>
        <v>4680</v>
      </c>
      <c r="K60">
        <f t="shared" si="1"/>
        <v>88.5</v>
      </c>
      <c r="L60">
        <f t="shared" si="2"/>
        <v>1.0282485875706215</v>
      </c>
      <c r="M60" t="str" cm="1">
        <f t="array" ref="M60">_xlfn.IFS(G60&lt;50,"Low Stock",G60&lt;100,"Medium Stock",G60&gt;=100,"Healthy Stock")</f>
        <v>Medium Stock</v>
      </c>
      <c r="N60" s="21">
        <f t="shared" si="3"/>
        <v>4680</v>
      </c>
    </row>
    <row r="61" spans="1:14">
      <c r="A61" s="1" t="s">
        <v>15</v>
      </c>
      <c r="B61" s="1" t="s">
        <v>16</v>
      </c>
      <c r="C61" s="1" t="s">
        <v>10</v>
      </c>
      <c r="D61" s="1">
        <v>64</v>
      </c>
      <c r="E61" s="1">
        <v>122</v>
      </c>
      <c r="F61" s="1">
        <v>137</v>
      </c>
      <c r="G61" s="1">
        <v>49</v>
      </c>
      <c r="H61" s="1">
        <v>40</v>
      </c>
      <c r="I61" s="1" t="s">
        <v>36</v>
      </c>
      <c r="J61">
        <f t="shared" si="0"/>
        <v>1960</v>
      </c>
      <c r="K61">
        <f t="shared" si="1"/>
        <v>88.5</v>
      </c>
      <c r="L61">
        <f t="shared" si="2"/>
        <v>1.5480225988700564</v>
      </c>
      <c r="M61" t="str" cm="1">
        <f t="array" ref="M61">_xlfn.IFS(G61&lt;50,"Low Stock",G61&lt;100,"Medium Stock",G61&gt;=100,"Healthy Stock")</f>
        <v>Low Stock</v>
      </c>
      <c r="N61" s="21">
        <f t="shared" si="3"/>
        <v>1960</v>
      </c>
    </row>
    <row r="62" spans="1:14">
      <c r="A62" s="1" t="s">
        <v>162</v>
      </c>
      <c r="B62" s="1" t="s">
        <v>192</v>
      </c>
      <c r="C62" s="1" t="s">
        <v>146</v>
      </c>
      <c r="D62" s="1">
        <v>176</v>
      </c>
      <c r="E62" s="1">
        <v>23</v>
      </c>
      <c r="F62" s="1">
        <v>172</v>
      </c>
      <c r="G62" s="1">
        <v>27</v>
      </c>
      <c r="H62" s="1">
        <v>113</v>
      </c>
      <c r="I62" s="1" t="s">
        <v>33</v>
      </c>
      <c r="J62">
        <f t="shared" si="0"/>
        <v>3051</v>
      </c>
      <c r="K62">
        <f t="shared" si="1"/>
        <v>189.5</v>
      </c>
      <c r="L62">
        <f t="shared" si="2"/>
        <v>0.90765171503957787</v>
      </c>
      <c r="M62" t="str" cm="1">
        <f t="array" ref="M62">_xlfn.IFS(G62&lt;50,"Low Stock",G62&lt;100,"Medium Stock",G62&gt;=100,"Healthy Stock")</f>
        <v>Low Stock</v>
      </c>
      <c r="N62" s="21">
        <f t="shared" si="3"/>
        <v>3051</v>
      </c>
    </row>
    <row r="63" spans="1:14">
      <c r="A63" s="1" t="s">
        <v>158</v>
      </c>
      <c r="B63" s="1" t="s">
        <v>188</v>
      </c>
      <c r="C63" s="1" t="s">
        <v>10</v>
      </c>
      <c r="D63" s="1">
        <v>104</v>
      </c>
      <c r="E63" s="1">
        <v>93</v>
      </c>
      <c r="F63" s="1">
        <v>96</v>
      </c>
      <c r="G63" s="1">
        <v>101</v>
      </c>
      <c r="H63" s="1">
        <v>43</v>
      </c>
      <c r="I63" s="1" t="s">
        <v>35</v>
      </c>
      <c r="J63">
        <f t="shared" si="0"/>
        <v>4343</v>
      </c>
      <c r="K63">
        <f t="shared" si="1"/>
        <v>154.5</v>
      </c>
      <c r="L63">
        <f t="shared" si="2"/>
        <v>0.62135922330097082</v>
      </c>
      <c r="M63" t="str" cm="1">
        <f t="array" ref="M63">_xlfn.IFS(G63&lt;50,"Low Stock",G63&lt;100,"Medium Stock",G63&gt;=100,"Healthy Stock")</f>
        <v>Healthy Stock</v>
      </c>
      <c r="N63" s="21">
        <f t="shared" si="3"/>
        <v>4343</v>
      </c>
    </row>
    <row r="64" spans="1:14">
      <c r="A64" s="1" t="s">
        <v>151</v>
      </c>
      <c r="B64" s="1" t="s">
        <v>181</v>
      </c>
      <c r="C64" s="1" t="s">
        <v>7</v>
      </c>
      <c r="D64" s="1">
        <v>115</v>
      </c>
      <c r="E64" s="1">
        <v>102</v>
      </c>
      <c r="F64" s="1">
        <v>70</v>
      </c>
      <c r="G64" s="1">
        <v>147</v>
      </c>
      <c r="H64" s="1">
        <v>20</v>
      </c>
      <c r="I64" s="1" t="s">
        <v>208</v>
      </c>
      <c r="J64">
        <f t="shared" si="0"/>
        <v>2940</v>
      </c>
      <c r="K64">
        <f t="shared" si="1"/>
        <v>188.5</v>
      </c>
      <c r="L64">
        <f t="shared" si="2"/>
        <v>0.3713527851458886</v>
      </c>
      <c r="M64" t="str" cm="1">
        <f t="array" ref="M64">_xlfn.IFS(G64&lt;50,"Low Stock",G64&lt;100,"Medium Stock",G64&gt;=100,"Healthy Stock")</f>
        <v>Healthy Stock</v>
      </c>
      <c r="N64" s="21">
        <f t="shared" si="3"/>
        <v>2940</v>
      </c>
    </row>
    <row r="65" spans="1:14">
      <c r="A65" s="1" t="s">
        <v>168</v>
      </c>
      <c r="B65" s="1" t="s">
        <v>198</v>
      </c>
      <c r="C65" s="1" t="s">
        <v>17</v>
      </c>
      <c r="D65" s="1">
        <v>137</v>
      </c>
      <c r="E65" s="1">
        <v>104</v>
      </c>
      <c r="F65" s="1">
        <v>149</v>
      </c>
      <c r="G65" s="1">
        <v>92</v>
      </c>
      <c r="H65" s="1">
        <v>72</v>
      </c>
      <c r="I65" s="1" t="s">
        <v>34</v>
      </c>
      <c r="J65">
        <f t="shared" si="0"/>
        <v>6624</v>
      </c>
      <c r="K65">
        <f t="shared" si="1"/>
        <v>183</v>
      </c>
      <c r="L65">
        <f t="shared" si="2"/>
        <v>0.81420765027322406</v>
      </c>
      <c r="M65" t="str" cm="1">
        <f t="array" ref="M65">_xlfn.IFS(G65&lt;50,"Low Stock",G65&lt;100,"Medium Stock",G65&gt;=100,"Healthy Stock")</f>
        <v>Medium Stock</v>
      </c>
      <c r="N65" s="21">
        <f t="shared" si="3"/>
        <v>6624</v>
      </c>
    </row>
    <row r="66" spans="1:14">
      <c r="A66" s="1" t="s">
        <v>176</v>
      </c>
      <c r="B66" s="1" t="s">
        <v>206</v>
      </c>
      <c r="C66" s="1" t="s">
        <v>146</v>
      </c>
      <c r="D66" s="1">
        <v>183</v>
      </c>
      <c r="E66" s="1">
        <v>30</v>
      </c>
      <c r="F66" s="1">
        <v>62</v>
      </c>
      <c r="G66" s="1">
        <v>151</v>
      </c>
      <c r="H66" s="1">
        <v>118</v>
      </c>
      <c r="I66" s="1" t="s">
        <v>35</v>
      </c>
      <c r="J66">
        <f t="shared" si="0"/>
        <v>17818</v>
      </c>
      <c r="K66">
        <f t="shared" si="1"/>
        <v>258.5</v>
      </c>
      <c r="L66">
        <f t="shared" si="2"/>
        <v>0.23984526112185686</v>
      </c>
      <c r="M66" t="str" cm="1">
        <f t="array" ref="M66">_xlfn.IFS(G66&lt;50,"Low Stock",G66&lt;100,"Medium Stock",G66&gt;=100,"Healthy Stock")</f>
        <v>Healthy Stock</v>
      </c>
      <c r="N66" s="21">
        <f t="shared" si="3"/>
        <v>17818</v>
      </c>
    </row>
    <row r="67" spans="1:14">
      <c r="A67" s="1" t="s">
        <v>161</v>
      </c>
      <c r="B67" s="1" t="s">
        <v>191</v>
      </c>
      <c r="C67" s="1" t="s">
        <v>147</v>
      </c>
      <c r="D67" s="1">
        <v>185</v>
      </c>
      <c r="E67" s="1">
        <v>60</v>
      </c>
      <c r="F67" s="1">
        <v>173</v>
      </c>
      <c r="G67" s="1">
        <v>72</v>
      </c>
      <c r="H67" s="1">
        <v>88</v>
      </c>
      <c r="I67" s="1" t="s">
        <v>33</v>
      </c>
      <c r="J67">
        <f t="shared" ref="J67:J130" si="4">G67*H67</f>
        <v>6336</v>
      </c>
      <c r="K67">
        <f t="shared" ref="K67:K130" si="5">D67+G67/2</f>
        <v>221</v>
      </c>
      <c r="L67">
        <f t="shared" ref="L67:L130" si="6">F67/K67</f>
        <v>0.78280542986425339</v>
      </c>
      <c r="M67" t="str" cm="1">
        <f t="array" ref="M67">_xlfn.IFS(G67&lt;50,"Low Stock",G67&lt;100,"Medium Stock",G67&gt;=100,"Healthy Stock")</f>
        <v>Medium Stock</v>
      </c>
      <c r="N67" s="21">
        <f t="shared" ref="N67:N130" si="7">G67*H67</f>
        <v>6336</v>
      </c>
    </row>
    <row r="68" spans="1:14">
      <c r="A68" s="1" t="s">
        <v>163</v>
      </c>
      <c r="B68" s="1" t="s">
        <v>193</v>
      </c>
      <c r="C68" s="1" t="s">
        <v>146</v>
      </c>
      <c r="D68" s="1">
        <v>59</v>
      </c>
      <c r="E68" s="1">
        <v>124</v>
      </c>
      <c r="F68" s="1">
        <v>82</v>
      </c>
      <c r="G68" s="1">
        <v>101</v>
      </c>
      <c r="H68" s="1">
        <v>42</v>
      </c>
      <c r="I68" s="1" t="s">
        <v>35</v>
      </c>
      <c r="J68">
        <f t="shared" si="4"/>
        <v>4242</v>
      </c>
      <c r="K68">
        <f t="shared" si="5"/>
        <v>109.5</v>
      </c>
      <c r="L68">
        <f t="shared" si="6"/>
        <v>0.74885844748858443</v>
      </c>
      <c r="M68" t="str" cm="1">
        <f t="array" ref="M68">_xlfn.IFS(G68&lt;50,"Low Stock",G68&lt;100,"Medium Stock",G68&gt;=100,"Healthy Stock")</f>
        <v>Healthy Stock</v>
      </c>
      <c r="N68" s="21">
        <f t="shared" si="7"/>
        <v>4242</v>
      </c>
    </row>
    <row r="69" spans="1:14">
      <c r="A69" s="1" t="s">
        <v>153</v>
      </c>
      <c r="B69" s="1" t="s">
        <v>183</v>
      </c>
      <c r="C69" s="1" t="s">
        <v>17</v>
      </c>
      <c r="D69" s="1">
        <v>185</v>
      </c>
      <c r="E69" s="1">
        <v>103</v>
      </c>
      <c r="F69" s="1">
        <v>53</v>
      </c>
      <c r="G69" s="1">
        <v>235</v>
      </c>
      <c r="H69" s="1">
        <v>24</v>
      </c>
      <c r="I69" s="1" t="s">
        <v>35</v>
      </c>
      <c r="J69">
        <f t="shared" si="4"/>
        <v>5640</v>
      </c>
      <c r="K69">
        <f t="shared" si="5"/>
        <v>302.5</v>
      </c>
      <c r="L69">
        <f t="shared" si="6"/>
        <v>0.17520661157024794</v>
      </c>
      <c r="M69" t="str" cm="1">
        <f t="array" ref="M69">_xlfn.IFS(G69&lt;50,"Low Stock",G69&lt;100,"Medium Stock",G69&gt;=100,"Healthy Stock")</f>
        <v>Healthy Stock</v>
      </c>
      <c r="N69" s="21">
        <f t="shared" si="7"/>
        <v>5640</v>
      </c>
    </row>
    <row r="70" spans="1:14">
      <c r="A70" s="1" t="s">
        <v>150</v>
      </c>
      <c r="B70" s="1" t="s">
        <v>180</v>
      </c>
      <c r="C70" s="1" t="s">
        <v>17</v>
      </c>
      <c r="D70" s="1">
        <v>191</v>
      </c>
      <c r="E70" s="1">
        <v>30</v>
      </c>
      <c r="F70" s="1">
        <v>91</v>
      </c>
      <c r="G70" s="1">
        <v>130</v>
      </c>
      <c r="H70" s="1">
        <v>101</v>
      </c>
      <c r="I70" s="1" t="s">
        <v>33</v>
      </c>
      <c r="J70">
        <f t="shared" si="4"/>
        <v>13130</v>
      </c>
      <c r="K70">
        <f t="shared" si="5"/>
        <v>256</v>
      </c>
      <c r="L70">
        <f t="shared" si="6"/>
        <v>0.35546875</v>
      </c>
      <c r="M70" t="str" cm="1">
        <f t="array" ref="M70">_xlfn.IFS(G70&lt;50,"Low Stock",G70&lt;100,"Medium Stock",G70&gt;=100,"Healthy Stock")</f>
        <v>Healthy Stock</v>
      </c>
      <c r="N70" s="21">
        <f t="shared" si="7"/>
        <v>13130</v>
      </c>
    </row>
    <row r="71" spans="1:14">
      <c r="A71" s="1" t="s">
        <v>168</v>
      </c>
      <c r="B71" s="1" t="s">
        <v>198</v>
      </c>
      <c r="C71" s="1" t="s">
        <v>17</v>
      </c>
      <c r="D71" s="1">
        <v>80</v>
      </c>
      <c r="E71" s="1">
        <v>20</v>
      </c>
      <c r="F71" s="1">
        <v>178</v>
      </c>
      <c r="G71" s="1">
        <v>-78</v>
      </c>
      <c r="H71" s="1">
        <v>72</v>
      </c>
      <c r="I71" s="1" t="s">
        <v>33</v>
      </c>
      <c r="J71">
        <f t="shared" si="4"/>
        <v>-5616</v>
      </c>
      <c r="K71">
        <f t="shared" si="5"/>
        <v>41</v>
      </c>
      <c r="L71">
        <f t="shared" si="6"/>
        <v>4.3414634146341466</v>
      </c>
      <c r="M71" t="str" cm="1">
        <f t="array" ref="M71">_xlfn.IFS(G71&lt;50,"Low Stock",G71&lt;100,"Medium Stock",G71&gt;=100,"Healthy Stock")</f>
        <v>Low Stock</v>
      </c>
      <c r="N71" s="21">
        <f t="shared" si="7"/>
        <v>-5616</v>
      </c>
    </row>
    <row r="72" spans="1:14">
      <c r="A72" s="1" t="s">
        <v>163</v>
      </c>
      <c r="B72" s="1" t="s">
        <v>193</v>
      </c>
      <c r="C72" s="1" t="s">
        <v>146</v>
      </c>
      <c r="D72" s="1">
        <v>69</v>
      </c>
      <c r="E72" s="1">
        <v>95</v>
      </c>
      <c r="F72" s="1">
        <v>117</v>
      </c>
      <c r="G72" s="1">
        <v>47</v>
      </c>
      <c r="H72" s="1">
        <v>42</v>
      </c>
      <c r="I72" s="1" t="s">
        <v>35</v>
      </c>
      <c r="J72">
        <f t="shared" si="4"/>
        <v>1974</v>
      </c>
      <c r="K72">
        <f t="shared" si="5"/>
        <v>92.5</v>
      </c>
      <c r="L72">
        <f t="shared" si="6"/>
        <v>1.2648648648648648</v>
      </c>
      <c r="M72" t="str" cm="1">
        <f t="array" ref="M72">_xlfn.IFS(G72&lt;50,"Low Stock",G72&lt;100,"Medium Stock",G72&gt;=100,"Healthy Stock")</f>
        <v>Low Stock</v>
      </c>
      <c r="N72" s="21">
        <f t="shared" si="7"/>
        <v>1974</v>
      </c>
    </row>
    <row r="73" spans="1:14">
      <c r="A73" s="1" t="s">
        <v>166</v>
      </c>
      <c r="B73" s="1" t="s">
        <v>196</v>
      </c>
      <c r="C73" s="1" t="s">
        <v>7</v>
      </c>
      <c r="D73" s="1">
        <v>182</v>
      </c>
      <c r="E73" s="1">
        <v>37</v>
      </c>
      <c r="F73" s="1">
        <v>178</v>
      </c>
      <c r="G73" s="1">
        <v>41</v>
      </c>
      <c r="H73" s="1">
        <v>78</v>
      </c>
      <c r="I73" s="1" t="s">
        <v>208</v>
      </c>
      <c r="J73">
        <f t="shared" si="4"/>
        <v>3198</v>
      </c>
      <c r="K73">
        <f t="shared" si="5"/>
        <v>202.5</v>
      </c>
      <c r="L73">
        <f t="shared" si="6"/>
        <v>0.87901234567901232</v>
      </c>
      <c r="M73" t="str" cm="1">
        <f t="array" ref="M73">_xlfn.IFS(G73&lt;50,"Low Stock",G73&lt;100,"Medium Stock",G73&gt;=100,"Healthy Stock")</f>
        <v>Low Stock</v>
      </c>
      <c r="N73" s="21">
        <f t="shared" si="7"/>
        <v>3198</v>
      </c>
    </row>
    <row r="74" spans="1:14">
      <c r="A74" s="1" t="s">
        <v>168</v>
      </c>
      <c r="B74" s="1" t="s">
        <v>198</v>
      </c>
      <c r="C74" s="1" t="s">
        <v>17</v>
      </c>
      <c r="D74" s="1">
        <v>171</v>
      </c>
      <c r="E74" s="1">
        <v>54</v>
      </c>
      <c r="F74" s="1">
        <v>64</v>
      </c>
      <c r="G74" s="1">
        <v>161</v>
      </c>
      <c r="H74" s="1">
        <v>72</v>
      </c>
      <c r="I74" s="1" t="s">
        <v>208</v>
      </c>
      <c r="J74">
        <f t="shared" si="4"/>
        <v>11592</v>
      </c>
      <c r="K74">
        <f t="shared" si="5"/>
        <v>251.5</v>
      </c>
      <c r="L74">
        <f t="shared" si="6"/>
        <v>0.25447316103379719</v>
      </c>
      <c r="M74" t="str" cm="1">
        <f t="array" ref="M74">_xlfn.IFS(G74&lt;50,"Low Stock",G74&lt;100,"Medium Stock",G74&gt;=100,"Healthy Stock")</f>
        <v>Healthy Stock</v>
      </c>
      <c r="N74" s="21">
        <f t="shared" si="7"/>
        <v>11592</v>
      </c>
    </row>
    <row r="75" spans="1:14">
      <c r="A75" s="1" t="s">
        <v>149</v>
      </c>
      <c r="B75" s="1" t="s">
        <v>179</v>
      </c>
      <c r="C75" s="1" t="s">
        <v>17</v>
      </c>
      <c r="D75" s="1">
        <v>192</v>
      </c>
      <c r="E75" s="1">
        <v>93</v>
      </c>
      <c r="F75" s="1">
        <v>31</v>
      </c>
      <c r="G75" s="1">
        <v>254</v>
      </c>
      <c r="H75" s="1">
        <v>76</v>
      </c>
      <c r="I75" s="1" t="s">
        <v>35</v>
      </c>
      <c r="J75">
        <f t="shared" si="4"/>
        <v>19304</v>
      </c>
      <c r="K75">
        <f t="shared" si="5"/>
        <v>319</v>
      </c>
      <c r="L75">
        <f t="shared" si="6"/>
        <v>9.7178683385579931E-2</v>
      </c>
      <c r="M75" t="str" cm="1">
        <f t="array" ref="M75">_xlfn.IFS(G75&lt;50,"Low Stock",G75&lt;100,"Medium Stock",G75&gt;=100,"Healthy Stock")</f>
        <v>Healthy Stock</v>
      </c>
      <c r="N75" s="21">
        <f t="shared" si="7"/>
        <v>19304</v>
      </c>
    </row>
    <row r="76" spans="1:14">
      <c r="A76" s="1" t="s">
        <v>149</v>
      </c>
      <c r="B76" s="1" t="s">
        <v>179</v>
      </c>
      <c r="C76" s="1" t="s">
        <v>17</v>
      </c>
      <c r="D76" s="1">
        <v>187</v>
      </c>
      <c r="E76" s="1">
        <v>127</v>
      </c>
      <c r="F76" s="1">
        <v>37</v>
      </c>
      <c r="G76" s="1">
        <v>277</v>
      </c>
      <c r="H76" s="1">
        <v>76</v>
      </c>
      <c r="I76" s="1" t="s">
        <v>36</v>
      </c>
      <c r="J76">
        <f t="shared" si="4"/>
        <v>21052</v>
      </c>
      <c r="K76">
        <f t="shared" si="5"/>
        <v>325.5</v>
      </c>
      <c r="L76">
        <f t="shared" si="6"/>
        <v>0.11367127496159754</v>
      </c>
      <c r="M76" t="str" cm="1">
        <f t="array" ref="M76">_xlfn.IFS(G76&lt;50,"Low Stock",G76&lt;100,"Medium Stock",G76&gt;=100,"Healthy Stock")</f>
        <v>Healthy Stock</v>
      </c>
      <c r="N76" s="21">
        <f t="shared" si="7"/>
        <v>21052</v>
      </c>
    </row>
    <row r="77" spans="1:14">
      <c r="A77" s="1" t="s">
        <v>177</v>
      </c>
      <c r="B77" s="1" t="s">
        <v>207</v>
      </c>
      <c r="C77" s="1" t="s">
        <v>146</v>
      </c>
      <c r="D77" s="1">
        <v>139</v>
      </c>
      <c r="E77" s="1">
        <v>71</v>
      </c>
      <c r="F77" s="1">
        <v>42</v>
      </c>
      <c r="G77" s="1">
        <v>168</v>
      </c>
      <c r="H77" s="1">
        <v>63</v>
      </c>
      <c r="I77" s="1" t="s">
        <v>36</v>
      </c>
      <c r="J77">
        <f t="shared" si="4"/>
        <v>10584</v>
      </c>
      <c r="K77">
        <f t="shared" si="5"/>
        <v>223</v>
      </c>
      <c r="L77">
        <f t="shared" si="6"/>
        <v>0.18834080717488788</v>
      </c>
      <c r="M77" t="str" cm="1">
        <f t="array" ref="M77">_xlfn.IFS(G77&lt;50,"Low Stock",G77&lt;100,"Medium Stock",G77&gt;=100,"Healthy Stock")</f>
        <v>Healthy Stock</v>
      </c>
      <c r="N77" s="21">
        <f t="shared" si="7"/>
        <v>10584</v>
      </c>
    </row>
    <row r="78" spans="1:14">
      <c r="A78" s="1" t="s">
        <v>5</v>
      </c>
      <c r="B78" s="1" t="s">
        <v>6</v>
      </c>
      <c r="C78" s="1" t="s">
        <v>7</v>
      </c>
      <c r="D78" s="1">
        <v>72</v>
      </c>
      <c r="E78" s="1">
        <v>60</v>
      </c>
      <c r="F78" s="1">
        <v>171</v>
      </c>
      <c r="G78" s="1">
        <v>-39</v>
      </c>
      <c r="H78" s="1">
        <v>46</v>
      </c>
      <c r="I78" s="1" t="s">
        <v>35</v>
      </c>
      <c r="J78">
        <f t="shared" si="4"/>
        <v>-1794</v>
      </c>
      <c r="K78">
        <f t="shared" si="5"/>
        <v>52.5</v>
      </c>
      <c r="L78">
        <f t="shared" si="6"/>
        <v>3.2571428571428571</v>
      </c>
      <c r="M78" t="str" cm="1">
        <f t="array" ref="M78">_xlfn.IFS(G78&lt;50,"Low Stock",G78&lt;100,"Medium Stock",G78&gt;=100,"Healthy Stock")</f>
        <v>Low Stock</v>
      </c>
      <c r="N78" s="21">
        <f t="shared" si="7"/>
        <v>-1794</v>
      </c>
    </row>
    <row r="79" spans="1:14">
      <c r="A79" s="1" t="s">
        <v>168</v>
      </c>
      <c r="B79" s="1" t="s">
        <v>198</v>
      </c>
      <c r="C79" s="1" t="s">
        <v>17</v>
      </c>
      <c r="D79" s="1">
        <v>57</v>
      </c>
      <c r="E79" s="1">
        <v>149</v>
      </c>
      <c r="F79" s="1">
        <v>159</v>
      </c>
      <c r="G79" s="1">
        <v>47</v>
      </c>
      <c r="H79" s="1">
        <v>72</v>
      </c>
      <c r="I79" s="1" t="s">
        <v>35</v>
      </c>
      <c r="J79">
        <f t="shared" si="4"/>
        <v>3384</v>
      </c>
      <c r="K79">
        <f t="shared" si="5"/>
        <v>80.5</v>
      </c>
      <c r="L79">
        <f t="shared" si="6"/>
        <v>1.9751552795031055</v>
      </c>
      <c r="M79" t="str" cm="1">
        <f t="array" ref="M79">_xlfn.IFS(G79&lt;50,"Low Stock",G79&lt;100,"Medium Stock",G79&gt;=100,"Healthy Stock")</f>
        <v>Low Stock</v>
      </c>
      <c r="N79" s="21">
        <f t="shared" si="7"/>
        <v>3384</v>
      </c>
    </row>
    <row r="80" spans="1:14">
      <c r="A80" s="1" t="s">
        <v>22</v>
      </c>
      <c r="B80" s="1" t="s">
        <v>23</v>
      </c>
      <c r="C80" s="1" t="s">
        <v>10</v>
      </c>
      <c r="D80" s="1">
        <v>87</v>
      </c>
      <c r="E80" s="1">
        <v>90</v>
      </c>
      <c r="F80" s="1">
        <v>124</v>
      </c>
      <c r="G80" s="1">
        <v>53</v>
      </c>
      <c r="H80" s="1">
        <v>46</v>
      </c>
      <c r="I80" s="1" t="s">
        <v>208</v>
      </c>
      <c r="J80">
        <f t="shared" si="4"/>
        <v>2438</v>
      </c>
      <c r="K80">
        <f t="shared" si="5"/>
        <v>113.5</v>
      </c>
      <c r="L80">
        <f t="shared" si="6"/>
        <v>1.0925110132158591</v>
      </c>
      <c r="M80" t="str" cm="1">
        <f t="array" ref="M80">_xlfn.IFS(G80&lt;50,"Low Stock",G80&lt;100,"Medium Stock",G80&gt;=100,"Healthy Stock")</f>
        <v>Medium Stock</v>
      </c>
      <c r="N80" s="21">
        <f t="shared" si="7"/>
        <v>2438</v>
      </c>
    </row>
    <row r="81" spans="1:14">
      <c r="A81" s="1" t="s">
        <v>160</v>
      </c>
      <c r="B81" s="1" t="s">
        <v>190</v>
      </c>
      <c r="C81" s="1" t="s">
        <v>7</v>
      </c>
      <c r="D81" s="1">
        <v>71</v>
      </c>
      <c r="E81" s="1">
        <v>92</v>
      </c>
      <c r="F81" s="1">
        <v>176</v>
      </c>
      <c r="G81" s="1">
        <v>-13</v>
      </c>
      <c r="H81" s="1">
        <v>11</v>
      </c>
      <c r="I81" s="1" t="s">
        <v>208</v>
      </c>
      <c r="J81">
        <f t="shared" si="4"/>
        <v>-143</v>
      </c>
      <c r="K81">
        <f t="shared" si="5"/>
        <v>64.5</v>
      </c>
      <c r="L81">
        <f t="shared" si="6"/>
        <v>2.7286821705426356</v>
      </c>
      <c r="M81" t="str" cm="1">
        <f t="array" ref="M81">_xlfn.IFS(G81&lt;50,"Low Stock",G81&lt;100,"Medium Stock",G81&gt;=100,"Healthy Stock")</f>
        <v>Low Stock</v>
      </c>
      <c r="N81" s="21">
        <f t="shared" si="7"/>
        <v>-143</v>
      </c>
    </row>
    <row r="82" spans="1:14">
      <c r="A82" s="1" t="s">
        <v>5</v>
      </c>
      <c r="B82" s="1" t="s">
        <v>6</v>
      </c>
      <c r="C82" s="1" t="s">
        <v>7</v>
      </c>
      <c r="D82" s="1">
        <v>151</v>
      </c>
      <c r="E82" s="1">
        <v>51</v>
      </c>
      <c r="F82" s="1">
        <v>67</v>
      </c>
      <c r="G82" s="1">
        <v>135</v>
      </c>
      <c r="H82" s="1">
        <v>46</v>
      </c>
      <c r="I82" s="1" t="s">
        <v>33</v>
      </c>
      <c r="J82">
        <f t="shared" si="4"/>
        <v>6210</v>
      </c>
      <c r="K82">
        <f t="shared" si="5"/>
        <v>218.5</v>
      </c>
      <c r="L82">
        <f t="shared" si="6"/>
        <v>0.30663615560640733</v>
      </c>
      <c r="M82" t="str" cm="1">
        <f t="array" ref="M82">_xlfn.IFS(G82&lt;50,"Low Stock",G82&lt;100,"Medium Stock",G82&gt;=100,"Healthy Stock")</f>
        <v>Healthy Stock</v>
      </c>
      <c r="N82" s="21">
        <f t="shared" si="7"/>
        <v>6210</v>
      </c>
    </row>
    <row r="83" spans="1:14">
      <c r="A83" s="1" t="s">
        <v>22</v>
      </c>
      <c r="B83" s="1" t="s">
        <v>23</v>
      </c>
      <c r="C83" s="1" t="s">
        <v>10</v>
      </c>
      <c r="D83" s="1">
        <v>93</v>
      </c>
      <c r="E83" s="1">
        <v>137</v>
      </c>
      <c r="F83" s="1">
        <v>58</v>
      </c>
      <c r="G83" s="1">
        <v>172</v>
      </c>
      <c r="H83" s="1">
        <v>46</v>
      </c>
      <c r="I83" s="1" t="s">
        <v>35</v>
      </c>
      <c r="J83">
        <f t="shared" si="4"/>
        <v>7912</v>
      </c>
      <c r="K83">
        <f t="shared" si="5"/>
        <v>179</v>
      </c>
      <c r="L83">
        <f t="shared" si="6"/>
        <v>0.32402234636871508</v>
      </c>
      <c r="M83" t="str" cm="1">
        <f t="array" ref="M83">_xlfn.IFS(G83&lt;50,"Low Stock",G83&lt;100,"Medium Stock",G83&gt;=100,"Healthy Stock")</f>
        <v>Healthy Stock</v>
      </c>
      <c r="N83" s="21">
        <f t="shared" si="7"/>
        <v>7912</v>
      </c>
    </row>
    <row r="84" spans="1:14">
      <c r="A84" s="1" t="s">
        <v>5</v>
      </c>
      <c r="B84" s="1" t="s">
        <v>6</v>
      </c>
      <c r="C84" s="1" t="s">
        <v>7</v>
      </c>
      <c r="D84" s="1">
        <v>180</v>
      </c>
      <c r="E84" s="1">
        <v>38</v>
      </c>
      <c r="F84" s="1">
        <v>90</v>
      </c>
      <c r="G84" s="1">
        <v>128</v>
      </c>
      <c r="H84" s="1">
        <v>46</v>
      </c>
      <c r="I84" s="1" t="s">
        <v>208</v>
      </c>
      <c r="J84">
        <f t="shared" si="4"/>
        <v>5888</v>
      </c>
      <c r="K84">
        <f t="shared" si="5"/>
        <v>244</v>
      </c>
      <c r="L84">
        <f t="shared" si="6"/>
        <v>0.36885245901639346</v>
      </c>
      <c r="M84" t="str" cm="1">
        <f t="array" ref="M84">_xlfn.IFS(G84&lt;50,"Low Stock",G84&lt;100,"Medium Stock",G84&gt;=100,"Healthy Stock")</f>
        <v>Healthy Stock</v>
      </c>
      <c r="N84" s="21">
        <f t="shared" si="7"/>
        <v>5888</v>
      </c>
    </row>
    <row r="85" spans="1:14">
      <c r="A85" s="1" t="s">
        <v>174</v>
      </c>
      <c r="B85" s="1" t="s">
        <v>204</v>
      </c>
      <c r="C85" s="1" t="s">
        <v>7</v>
      </c>
      <c r="D85" s="1">
        <v>185</v>
      </c>
      <c r="E85" s="1">
        <v>32</v>
      </c>
      <c r="F85" s="1">
        <v>151</v>
      </c>
      <c r="G85" s="1">
        <v>66</v>
      </c>
      <c r="H85" s="1">
        <v>105</v>
      </c>
      <c r="I85" s="1" t="s">
        <v>35</v>
      </c>
      <c r="J85">
        <f t="shared" si="4"/>
        <v>6930</v>
      </c>
      <c r="K85">
        <f t="shared" si="5"/>
        <v>218</v>
      </c>
      <c r="L85">
        <f t="shared" si="6"/>
        <v>0.69266055045871555</v>
      </c>
      <c r="M85" t="str" cm="1">
        <f t="array" ref="M85">_xlfn.IFS(G85&lt;50,"Low Stock",G85&lt;100,"Medium Stock",G85&gt;=100,"Healthy Stock")</f>
        <v>Medium Stock</v>
      </c>
      <c r="N85" s="21">
        <f t="shared" si="7"/>
        <v>6930</v>
      </c>
    </row>
    <row r="86" spans="1:14">
      <c r="A86" s="1" t="s">
        <v>155</v>
      </c>
      <c r="B86" s="1" t="s">
        <v>185</v>
      </c>
      <c r="C86" s="1" t="s">
        <v>7</v>
      </c>
      <c r="D86" s="1">
        <v>96</v>
      </c>
      <c r="E86" s="1">
        <v>72</v>
      </c>
      <c r="F86" s="1">
        <v>52</v>
      </c>
      <c r="G86" s="1">
        <v>116</v>
      </c>
      <c r="H86" s="1">
        <v>93</v>
      </c>
      <c r="I86" s="1" t="s">
        <v>34</v>
      </c>
      <c r="J86">
        <f t="shared" si="4"/>
        <v>10788</v>
      </c>
      <c r="K86">
        <f t="shared" si="5"/>
        <v>154</v>
      </c>
      <c r="L86">
        <f t="shared" si="6"/>
        <v>0.33766233766233766</v>
      </c>
      <c r="M86" t="str" cm="1">
        <f t="array" ref="M86">_xlfn.IFS(G86&lt;50,"Low Stock",G86&lt;100,"Medium Stock",G86&gt;=100,"Healthy Stock")</f>
        <v>Healthy Stock</v>
      </c>
      <c r="N86" s="21">
        <f t="shared" si="7"/>
        <v>10788</v>
      </c>
    </row>
    <row r="87" spans="1:14">
      <c r="A87" s="1" t="s">
        <v>156</v>
      </c>
      <c r="B87" s="1" t="s">
        <v>186</v>
      </c>
      <c r="C87" s="1" t="s">
        <v>147</v>
      </c>
      <c r="D87" s="1">
        <v>136</v>
      </c>
      <c r="E87" s="1">
        <v>112</v>
      </c>
      <c r="F87" s="1">
        <v>175</v>
      </c>
      <c r="G87" s="1">
        <v>73</v>
      </c>
      <c r="H87" s="1">
        <v>21</v>
      </c>
      <c r="I87" s="1" t="s">
        <v>35</v>
      </c>
      <c r="J87">
        <f t="shared" si="4"/>
        <v>1533</v>
      </c>
      <c r="K87">
        <f t="shared" si="5"/>
        <v>172.5</v>
      </c>
      <c r="L87">
        <f t="shared" si="6"/>
        <v>1.0144927536231885</v>
      </c>
      <c r="M87" t="str" cm="1">
        <f t="array" ref="M87">_xlfn.IFS(G87&lt;50,"Low Stock",G87&lt;100,"Medium Stock",G87&gt;=100,"Healthy Stock")</f>
        <v>Medium Stock</v>
      </c>
      <c r="N87" s="21">
        <f t="shared" si="7"/>
        <v>1533</v>
      </c>
    </row>
    <row r="88" spans="1:14">
      <c r="A88" s="1" t="s">
        <v>162</v>
      </c>
      <c r="B88" s="1" t="s">
        <v>192</v>
      </c>
      <c r="C88" s="1" t="s">
        <v>146</v>
      </c>
      <c r="D88" s="1">
        <v>126</v>
      </c>
      <c r="E88" s="1">
        <v>68</v>
      </c>
      <c r="F88" s="1">
        <v>81</v>
      </c>
      <c r="G88" s="1">
        <v>113</v>
      </c>
      <c r="H88" s="1">
        <v>113</v>
      </c>
      <c r="I88" s="1" t="s">
        <v>35</v>
      </c>
      <c r="J88">
        <f t="shared" si="4"/>
        <v>12769</v>
      </c>
      <c r="K88">
        <f t="shared" si="5"/>
        <v>182.5</v>
      </c>
      <c r="L88">
        <f t="shared" si="6"/>
        <v>0.44383561643835617</v>
      </c>
      <c r="M88" t="str" cm="1">
        <f t="array" ref="M88">_xlfn.IFS(G88&lt;50,"Low Stock",G88&lt;100,"Medium Stock",G88&gt;=100,"Healthy Stock")</f>
        <v>Healthy Stock</v>
      </c>
      <c r="N88" s="21">
        <f t="shared" si="7"/>
        <v>12769</v>
      </c>
    </row>
    <row r="89" spans="1:14">
      <c r="A89" s="1" t="s">
        <v>162</v>
      </c>
      <c r="B89" s="1" t="s">
        <v>192</v>
      </c>
      <c r="C89" s="1" t="s">
        <v>146</v>
      </c>
      <c r="D89" s="1">
        <v>98</v>
      </c>
      <c r="E89" s="1">
        <v>63</v>
      </c>
      <c r="F89" s="1">
        <v>162</v>
      </c>
      <c r="G89" s="1">
        <v>-1</v>
      </c>
      <c r="H89" s="1">
        <v>113</v>
      </c>
      <c r="I89" s="1" t="s">
        <v>208</v>
      </c>
      <c r="J89">
        <f t="shared" si="4"/>
        <v>-113</v>
      </c>
      <c r="K89">
        <f t="shared" si="5"/>
        <v>97.5</v>
      </c>
      <c r="L89">
        <f t="shared" si="6"/>
        <v>1.6615384615384616</v>
      </c>
      <c r="M89" t="str" cm="1">
        <f t="array" ref="M89">_xlfn.IFS(G89&lt;50,"Low Stock",G89&lt;100,"Medium Stock",G89&gt;=100,"Healthy Stock")</f>
        <v>Low Stock</v>
      </c>
      <c r="N89" s="21">
        <f t="shared" si="7"/>
        <v>-113</v>
      </c>
    </row>
    <row r="90" spans="1:14">
      <c r="A90" s="1" t="s">
        <v>170</v>
      </c>
      <c r="B90" s="1" t="s">
        <v>200</v>
      </c>
      <c r="C90" s="1" t="s">
        <v>17</v>
      </c>
      <c r="D90" s="1">
        <v>137</v>
      </c>
      <c r="E90" s="1">
        <v>37</v>
      </c>
      <c r="F90" s="1">
        <v>92</v>
      </c>
      <c r="G90" s="1">
        <v>82</v>
      </c>
      <c r="H90" s="1">
        <v>13</v>
      </c>
      <c r="I90" s="1" t="s">
        <v>34</v>
      </c>
      <c r="J90">
        <f t="shared" si="4"/>
        <v>1066</v>
      </c>
      <c r="K90">
        <f t="shared" si="5"/>
        <v>178</v>
      </c>
      <c r="L90">
        <f t="shared" si="6"/>
        <v>0.5168539325842697</v>
      </c>
      <c r="M90" t="str" cm="1">
        <f t="array" ref="M90">_xlfn.IFS(G90&lt;50,"Low Stock",G90&lt;100,"Medium Stock",G90&gt;=100,"Healthy Stock")</f>
        <v>Medium Stock</v>
      </c>
      <c r="N90" s="21">
        <f t="shared" si="7"/>
        <v>1066</v>
      </c>
    </row>
    <row r="91" spans="1:14">
      <c r="A91" s="1" t="s">
        <v>158</v>
      </c>
      <c r="B91" s="1" t="s">
        <v>188</v>
      </c>
      <c r="C91" s="1" t="s">
        <v>10</v>
      </c>
      <c r="D91" s="1">
        <v>156</v>
      </c>
      <c r="E91" s="1">
        <v>82</v>
      </c>
      <c r="F91" s="1">
        <v>105</v>
      </c>
      <c r="G91" s="1">
        <v>133</v>
      </c>
      <c r="H91" s="1">
        <v>43</v>
      </c>
      <c r="I91" s="1" t="s">
        <v>208</v>
      </c>
      <c r="J91">
        <f t="shared" si="4"/>
        <v>5719</v>
      </c>
      <c r="K91">
        <f t="shared" si="5"/>
        <v>222.5</v>
      </c>
      <c r="L91">
        <f t="shared" si="6"/>
        <v>0.47191011235955055</v>
      </c>
      <c r="M91" t="str" cm="1">
        <f t="array" ref="M91">_xlfn.IFS(G91&lt;50,"Low Stock",G91&lt;100,"Medium Stock",G91&gt;=100,"Healthy Stock")</f>
        <v>Healthy Stock</v>
      </c>
      <c r="N91" s="21">
        <f t="shared" si="7"/>
        <v>5719</v>
      </c>
    </row>
    <row r="92" spans="1:14">
      <c r="A92" s="1" t="s">
        <v>159</v>
      </c>
      <c r="B92" s="1" t="s">
        <v>189</v>
      </c>
      <c r="C92" s="1" t="s">
        <v>146</v>
      </c>
      <c r="D92" s="1">
        <v>156</v>
      </c>
      <c r="E92" s="1">
        <v>43</v>
      </c>
      <c r="F92" s="1">
        <v>170</v>
      </c>
      <c r="G92" s="1">
        <v>29</v>
      </c>
      <c r="H92" s="1">
        <v>61</v>
      </c>
      <c r="I92" s="1" t="s">
        <v>35</v>
      </c>
      <c r="J92">
        <f t="shared" si="4"/>
        <v>1769</v>
      </c>
      <c r="K92">
        <f t="shared" si="5"/>
        <v>170.5</v>
      </c>
      <c r="L92">
        <f t="shared" si="6"/>
        <v>0.99706744868035191</v>
      </c>
      <c r="M92" t="str" cm="1">
        <f t="array" ref="M92">_xlfn.IFS(G92&lt;50,"Low Stock",G92&lt;100,"Medium Stock",G92&gt;=100,"Healthy Stock")</f>
        <v>Low Stock</v>
      </c>
      <c r="N92" s="21">
        <f t="shared" si="7"/>
        <v>1769</v>
      </c>
    </row>
    <row r="93" spans="1:14">
      <c r="A93" s="1" t="s">
        <v>176</v>
      </c>
      <c r="B93" s="1" t="s">
        <v>206</v>
      </c>
      <c r="C93" s="1" t="s">
        <v>146</v>
      </c>
      <c r="D93" s="1">
        <v>157</v>
      </c>
      <c r="E93" s="1">
        <v>138</v>
      </c>
      <c r="F93" s="1">
        <v>175</v>
      </c>
      <c r="G93" s="1">
        <v>120</v>
      </c>
      <c r="H93" s="1">
        <v>118</v>
      </c>
      <c r="I93" s="1" t="s">
        <v>35</v>
      </c>
      <c r="J93">
        <f t="shared" si="4"/>
        <v>14160</v>
      </c>
      <c r="K93">
        <f t="shared" si="5"/>
        <v>217</v>
      </c>
      <c r="L93">
        <f t="shared" si="6"/>
        <v>0.80645161290322576</v>
      </c>
      <c r="M93" t="str" cm="1">
        <f t="array" ref="M93">_xlfn.IFS(G93&lt;50,"Low Stock",G93&lt;100,"Medium Stock",G93&gt;=100,"Healthy Stock")</f>
        <v>Healthy Stock</v>
      </c>
      <c r="N93" s="21">
        <f t="shared" si="7"/>
        <v>14160</v>
      </c>
    </row>
    <row r="94" spans="1:14">
      <c r="A94" s="1" t="s">
        <v>168</v>
      </c>
      <c r="B94" s="1" t="s">
        <v>198</v>
      </c>
      <c r="C94" s="1" t="s">
        <v>17</v>
      </c>
      <c r="D94" s="1">
        <v>157</v>
      </c>
      <c r="E94" s="1">
        <v>123</v>
      </c>
      <c r="F94" s="1">
        <v>115</v>
      </c>
      <c r="G94" s="1">
        <v>165</v>
      </c>
      <c r="H94" s="1">
        <v>72</v>
      </c>
      <c r="I94" s="1" t="s">
        <v>34</v>
      </c>
      <c r="J94">
        <f t="shared" si="4"/>
        <v>11880</v>
      </c>
      <c r="K94">
        <f t="shared" si="5"/>
        <v>239.5</v>
      </c>
      <c r="L94">
        <f t="shared" si="6"/>
        <v>0.4801670146137787</v>
      </c>
      <c r="M94" t="str" cm="1">
        <f t="array" ref="M94">_xlfn.IFS(G94&lt;50,"Low Stock",G94&lt;100,"Medium Stock",G94&gt;=100,"Healthy Stock")</f>
        <v>Healthy Stock</v>
      </c>
      <c r="N94" s="21">
        <f t="shared" si="7"/>
        <v>11880</v>
      </c>
    </row>
    <row r="95" spans="1:14">
      <c r="A95" s="1" t="s">
        <v>153</v>
      </c>
      <c r="B95" s="1" t="s">
        <v>183</v>
      </c>
      <c r="C95" s="1" t="s">
        <v>17</v>
      </c>
      <c r="D95" s="1">
        <v>136</v>
      </c>
      <c r="E95" s="1">
        <v>91</v>
      </c>
      <c r="F95" s="1">
        <v>70</v>
      </c>
      <c r="G95" s="1">
        <v>157</v>
      </c>
      <c r="H95" s="1">
        <v>24</v>
      </c>
      <c r="I95" s="1" t="s">
        <v>33</v>
      </c>
      <c r="J95">
        <f t="shared" si="4"/>
        <v>3768</v>
      </c>
      <c r="K95">
        <f t="shared" si="5"/>
        <v>214.5</v>
      </c>
      <c r="L95">
        <f t="shared" si="6"/>
        <v>0.32634032634032634</v>
      </c>
      <c r="M95" t="str" cm="1">
        <f t="array" ref="M95">_xlfn.IFS(G95&lt;50,"Low Stock",G95&lt;100,"Medium Stock",G95&gt;=100,"Healthy Stock")</f>
        <v>Healthy Stock</v>
      </c>
      <c r="N95" s="21">
        <f t="shared" si="7"/>
        <v>3768</v>
      </c>
    </row>
    <row r="96" spans="1:14">
      <c r="A96" s="1" t="s">
        <v>167</v>
      </c>
      <c r="B96" s="1" t="s">
        <v>197</v>
      </c>
      <c r="C96" s="1" t="s">
        <v>17</v>
      </c>
      <c r="D96" s="1">
        <v>99</v>
      </c>
      <c r="E96" s="1">
        <v>76</v>
      </c>
      <c r="F96" s="1">
        <v>174</v>
      </c>
      <c r="G96" s="1">
        <v>1</v>
      </c>
      <c r="H96" s="1">
        <v>55</v>
      </c>
      <c r="I96" s="1" t="s">
        <v>35</v>
      </c>
      <c r="J96">
        <f t="shared" si="4"/>
        <v>55</v>
      </c>
      <c r="K96">
        <f t="shared" si="5"/>
        <v>99.5</v>
      </c>
      <c r="L96">
        <f t="shared" si="6"/>
        <v>1.7487437185929648</v>
      </c>
      <c r="M96" t="str" cm="1">
        <f t="array" ref="M96">_xlfn.IFS(G96&lt;50,"Low Stock",G96&lt;100,"Medium Stock",G96&gt;=100,"Healthy Stock")</f>
        <v>Low Stock</v>
      </c>
      <c r="N96" s="21">
        <f t="shared" si="7"/>
        <v>55</v>
      </c>
    </row>
    <row r="97" spans="1:14">
      <c r="A97" s="1" t="s">
        <v>8</v>
      </c>
      <c r="B97" s="1" t="s">
        <v>9</v>
      </c>
      <c r="C97" s="1" t="s">
        <v>10</v>
      </c>
      <c r="D97" s="1">
        <v>166</v>
      </c>
      <c r="E97" s="1">
        <v>77</v>
      </c>
      <c r="F97" s="1">
        <v>51</v>
      </c>
      <c r="G97" s="1">
        <v>192</v>
      </c>
      <c r="H97" s="1">
        <v>96</v>
      </c>
      <c r="I97" s="1" t="s">
        <v>33</v>
      </c>
      <c r="J97">
        <f t="shared" si="4"/>
        <v>18432</v>
      </c>
      <c r="K97">
        <f t="shared" si="5"/>
        <v>262</v>
      </c>
      <c r="L97">
        <f t="shared" si="6"/>
        <v>0.19465648854961831</v>
      </c>
      <c r="M97" t="str" cm="1">
        <f t="array" ref="M97">_xlfn.IFS(G97&lt;50,"Low Stock",G97&lt;100,"Medium Stock",G97&gt;=100,"Healthy Stock")</f>
        <v>Healthy Stock</v>
      </c>
      <c r="N97" s="21">
        <f t="shared" si="7"/>
        <v>18432</v>
      </c>
    </row>
    <row r="98" spans="1:14">
      <c r="A98" s="1" t="s">
        <v>150</v>
      </c>
      <c r="B98" s="1" t="s">
        <v>180</v>
      </c>
      <c r="C98" s="1" t="s">
        <v>17</v>
      </c>
      <c r="D98" s="1">
        <v>56</v>
      </c>
      <c r="E98" s="1">
        <v>130</v>
      </c>
      <c r="F98" s="1">
        <v>130</v>
      </c>
      <c r="G98" s="1">
        <v>56</v>
      </c>
      <c r="H98" s="1">
        <v>101</v>
      </c>
      <c r="I98" s="1" t="s">
        <v>33</v>
      </c>
      <c r="J98">
        <f t="shared" si="4"/>
        <v>5656</v>
      </c>
      <c r="K98">
        <f t="shared" si="5"/>
        <v>84</v>
      </c>
      <c r="L98">
        <f t="shared" si="6"/>
        <v>1.5476190476190477</v>
      </c>
      <c r="M98" t="str" cm="1">
        <f t="array" ref="M98">_xlfn.IFS(G98&lt;50,"Low Stock",G98&lt;100,"Medium Stock",G98&gt;=100,"Healthy Stock")</f>
        <v>Medium Stock</v>
      </c>
      <c r="N98" s="21">
        <f t="shared" si="7"/>
        <v>5656</v>
      </c>
    </row>
    <row r="99" spans="1:14">
      <c r="A99" s="1" t="s">
        <v>160</v>
      </c>
      <c r="B99" s="1" t="s">
        <v>190</v>
      </c>
      <c r="C99" s="1" t="s">
        <v>7</v>
      </c>
      <c r="D99" s="1">
        <v>116</v>
      </c>
      <c r="E99" s="1">
        <v>119</v>
      </c>
      <c r="F99" s="1">
        <v>174</v>
      </c>
      <c r="G99" s="1">
        <v>61</v>
      </c>
      <c r="H99" s="1">
        <v>11</v>
      </c>
      <c r="I99" s="1" t="s">
        <v>33</v>
      </c>
      <c r="J99">
        <f t="shared" si="4"/>
        <v>671</v>
      </c>
      <c r="K99">
        <f t="shared" si="5"/>
        <v>146.5</v>
      </c>
      <c r="L99">
        <f t="shared" si="6"/>
        <v>1.1877133105802047</v>
      </c>
      <c r="M99" t="str" cm="1">
        <f t="array" ref="M99">_xlfn.IFS(G99&lt;50,"Low Stock",G99&lt;100,"Medium Stock",G99&gt;=100,"Healthy Stock")</f>
        <v>Medium Stock</v>
      </c>
      <c r="N99" s="21">
        <f t="shared" si="7"/>
        <v>671</v>
      </c>
    </row>
    <row r="100" spans="1:14">
      <c r="A100" s="1" t="s">
        <v>8</v>
      </c>
      <c r="B100" s="1" t="s">
        <v>9</v>
      </c>
      <c r="C100" s="1" t="s">
        <v>10</v>
      </c>
      <c r="D100" s="1">
        <v>70</v>
      </c>
      <c r="E100" s="1">
        <v>80</v>
      </c>
      <c r="F100" s="1">
        <v>62</v>
      </c>
      <c r="G100" s="1">
        <v>88</v>
      </c>
      <c r="H100" s="1">
        <v>96</v>
      </c>
      <c r="I100" s="1" t="s">
        <v>34</v>
      </c>
      <c r="J100">
        <f t="shared" si="4"/>
        <v>8448</v>
      </c>
      <c r="K100">
        <f t="shared" si="5"/>
        <v>114</v>
      </c>
      <c r="L100">
        <f t="shared" si="6"/>
        <v>0.54385964912280704</v>
      </c>
      <c r="M100" t="str" cm="1">
        <f t="array" ref="M100">_xlfn.IFS(G100&lt;50,"Low Stock",G100&lt;100,"Medium Stock",G100&gt;=100,"Healthy Stock")</f>
        <v>Medium Stock</v>
      </c>
      <c r="N100" s="21">
        <f t="shared" si="7"/>
        <v>8448</v>
      </c>
    </row>
    <row r="101" spans="1:14">
      <c r="A101" s="1" t="s">
        <v>161</v>
      </c>
      <c r="B101" s="1" t="s">
        <v>191</v>
      </c>
      <c r="C101" s="1" t="s">
        <v>147</v>
      </c>
      <c r="D101" s="1">
        <v>176</v>
      </c>
      <c r="E101" s="1">
        <v>128</v>
      </c>
      <c r="F101" s="1">
        <v>114</v>
      </c>
      <c r="G101" s="1">
        <v>190</v>
      </c>
      <c r="H101" s="1">
        <v>88</v>
      </c>
      <c r="I101" s="1" t="s">
        <v>34</v>
      </c>
      <c r="J101">
        <f t="shared" si="4"/>
        <v>16720</v>
      </c>
      <c r="K101">
        <f t="shared" si="5"/>
        <v>271</v>
      </c>
      <c r="L101">
        <f t="shared" si="6"/>
        <v>0.42066420664206644</v>
      </c>
      <c r="M101" t="str" cm="1">
        <f t="array" ref="M101">_xlfn.IFS(G101&lt;50,"Low Stock",G101&lt;100,"Medium Stock",G101&gt;=100,"Healthy Stock")</f>
        <v>Healthy Stock</v>
      </c>
      <c r="N101" s="21">
        <f t="shared" si="7"/>
        <v>16720</v>
      </c>
    </row>
    <row r="102" spans="1:14">
      <c r="A102" s="1" t="s">
        <v>174</v>
      </c>
      <c r="B102" s="1" t="s">
        <v>204</v>
      </c>
      <c r="C102" s="1" t="s">
        <v>7</v>
      </c>
      <c r="D102" s="1">
        <v>126</v>
      </c>
      <c r="E102" s="1">
        <v>51</v>
      </c>
      <c r="F102" s="1">
        <v>51</v>
      </c>
      <c r="G102" s="1">
        <v>126</v>
      </c>
      <c r="H102" s="1">
        <v>105</v>
      </c>
      <c r="I102" s="1" t="s">
        <v>208</v>
      </c>
      <c r="J102">
        <f t="shared" si="4"/>
        <v>13230</v>
      </c>
      <c r="K102">
        <f t="shared" si="5"/>
        <v>189</v>
      </c>
      <c r="L102">
        <f t="shared" si="6"/>
        <v>0.26984126984126983</v>
      </c>
      <c r="M102" t="str" cm="1">
        <f t="array" ref="M102">_xlfn.IFS(G102&lt;50,"Low Stock",G102&lt;100,"Medium Stock",G102&gt;=100,"Healthy Stock")</f>
        <v>Healthy Stock</v>
      </c>
      <c r="N102" s="21">
        <f t="shared" si="7"/>
        <v>13230</v>
      </c>
    </row>
    <row r="103" spans="1:14">
      <c r="A103" s="1" t="s">
        <v>171</v>
      </c>
      <c r="B103" s="1" t="s">
        <v>201</v>
      </c>
      <c r="C103" s="1" t="s">
        <v>17</v>
      </c>
      <c r="D103" s="1">
        <v>136</v>
      </c>
      <c r="E103" s="1">
        <v>39</v>
      </c>
      <c r="F103" s="1">
        <v>141</v>
      </c>
      <c r="G103" s="1">
        <v>34</v>
      </c>
      <c r="H103" s="1">
        <v>96</v>
      </c>
      <c r="I103" s="1" t="s">
        <v>208</v>
      </c>
      <c r="J103">
        <f t="shared" si="4"/>
        <v>3264</v>
      </c>
      <c r="K103">
        <f t="shared" si="5"/>
        <v>153</v>
      </c>
      <c r="L103">
        <f t="shared" si="6"/>
        <v>0.92156862745098034</v>
      </c>
      <c r="M103" t="str" cm="1">
        <f t="array" ref="M103">_xlfn.IFS(G103&lt;50,"Low Stock",G103&lt;100,"Medium Stock",G103&gt;=100,"Healthy Stock")</f>
        <v>Low Stock</v>
      </c>
      <c r="N103" s="21">
        <f t="shared" si="7"/>
        <v>3264</v>
      </c>
    </row>
    <row r="104" spans="1:14">
      <c r="A104" s="1" t="s">
        <v>15</v>
      </c>
      <c r="B104" s="1" t="s">
        <v>16</v>
      </c>
      <c r="C104" s="1" t="s">
        <v>10</v>
      </c>
      <c r="D104" s="1">
        <v>157</v>
      </c>
      <c r="E104" s="1">
        <v>29</v>
      </c>
      <c r="F104" s="1">
        <v>149</v>
      </c>
      <c r="G104" s="1">
        <v>37</v>
      </c>
      <c r="H104" s="1">
        <v>40</v>
      </c>
      <c r="I104" s="1" t="s">
        <v>33</v>
      </c>
      <c r="J104">
        <f t="shared" si="4"/>
        <v>1480</v>
      </c>
      <c r="K104">
        <f t="shared" si="5"/>
        <v>175.5</v>
      </c>
      <c r="L104">
        <f t="shared" si="6"/>
        <v>0.84900284900284906</v>
      </c>
      <c r="M104" t="str" cm="1">
        <f t="array" ref="M104">_xlfn.IFS(G104&lt;50,"Low Stock",G104&lt;100,"Medium Stock",G104&gt;=100,"Healthy Stock")</f>
        <v>Low Stock</v>
      </c>
      <c r="N104" s="21">
        <f t="shared" si="7"/>
        <v>1480</v>
      </c>
    </row>
    <row r="105" spans="1:14">
      <c r="A105" s="1" t="s">
        <v>155</v>
      </c>
      <c r="B105" s="1" t="s">
        <v>185</v>
      </c>
      <c r="C105" s="1" t="s">
        <v>7</v>
      </c>
      <c r="D105" s="1">
        <v>102</v>
      </c>
      <c r="E105" s="1">
        <v>149</v>
      </c>
      <c r="F105" s="1">
        <v>168</v>
      </c>
      <c r="G105" s="1">
        <v>83</v>
      </c>
      <c r="H105" s="1">
        <v>93</v>
      </c>
      <c r="I105" s="1" t="s">
        <v>36</v>
      </c>
      <c r="J105">
        <f t="shared" si="4"/>
        <v>7719</v>
      </c>
      <c r="K105">
        <f t="shared" si="5"/>
        <v>143.5</v>
      </c>
      <c r="L105">
        <f t="shared" si="6"/>
        <v>1.1707317073170731</v>
      </c>
      <c r="M105" t="str" cm="1">
        <f t="array" ref="M105">_xlfn.IFS(G105&lt;50,"Low Stock",G105&lt;100,"Medium Stock",G105&gt;=100,"Healthy Stock")</f>
        <v>Medium Stock</v>
      </c>
      <c r="N105" s="21">
        <f t="shared" si="7"/>
        <v>7719</v>
      </c>
    </row>
    <row r="106" spans="1:14">
      <c r="A106" s="1" t="s">
        <v>175</v>
      </c>
      <c r="B106" s="1" t="s">
        <v>205</v>
      </c>
      <c r="C106" s="1" t="s">
        <v>10</v>
      </c>
      <c r="D106" s="1">
        <v>169</v>
      </c>
      <c r="E106" s="1">
        <v>32</v>
      </c>
      <c r="F106" s="1">
        <v>74</v>
      </c>
      <c r="G106" s="1">
        <v>127</v>
      </c>
      <c r="H106" s="1">
        <v>63</v>
      </c>
      <c r="I106" s="1" t="s">
        <v>33</v>
      </c>
      <c r="J106">
        <f t="shared" si="4"/>
        <v>8001</v>
      </c>
      <c r="K106">
        <f t="shared" si="5"/>
        <v>232.5</v>
      </c>
      <c r="L106">
        <f t="shared" si="6"/>
        <v>0.31827956989247314</v>
      </c>
      <c r="M106" t="str" cm="1">
        <f t="array" ref="M106">_xlfn.IFS(G106&lt;50,"Low Stock",G106&lt;100,"Medium Stock",G106&gt;=100,"Healthy Stock")</f>
        <v>Healthy Stock</v>
      </c>
      <c r="N106" s="21">
        <f t="shared" si="7"/>
        <v>8001</v>
      </c>
    </row>
    <row r="107" spans="1:14">
      <c r="A107" s="1" t="s">
        <v>5</v>
      </c>
      <c r="B107" s="1" t="s">
        <v>6</v>
      </c>
      <c r="C107" s="1" t="s">
        <v>7</v>
      </c>
      <c r="D107" s="1">
        <v>84</v>
      </c>
      <c r="E107" s="1">
        <v>52</v>
      </c>
      <c r="F107" s="1">
        <v>55</v>
      </c>
      <c r="G107" s="1">
        <v>81</v>
      </c>
      <c r="H107" s="1">
        <v>46</v>
      </c>
      <c r="I107" s="1" t="s">
        <v>35</v>
      </c>
      <c r="J107">
        <f t="shared" si="4"/>
        <v>3726</v>
      </c>
      <c r="K107">
        <f t="shared" si="5"/>
        <v>124.5</v>
      </c>
      <c r="L107">
        <f t="shared" si="6"/>
        <v>0.44176706827309237</v>
      </c>
      <c r="M107" t="str" cm="1">
        <f t="array" ref="M107">_xlfn.IFS(G107&lt;50,"Low Stock",G107&lt;100,"Medium Stock",G107&gt;=100,"Healthy Stock")</f>
        <v>Medium Stock</v>
      </c>
      <c r="N107" s="21">
        <f t="shared" si="7"/>
        <v>3726</v>
      </c>
    </row>
    <row r="108" spans="1:14">
      <c r="A108" s="1" t="s">
        <v>156</v>
      </c>
      <c r="B108" s="1" t="s">
        <v>186</v>
      </c>
      <c r="C108" s="1" t="s">
        <v>147</v>
      </c>
      <c r="D108" s="1">
        <v>150</v>
      </c>
      <c r="E108" s="1">
        <v>22</v>
      </c>
      <c r="F108" s="1">
        <v>114</v>
      </c>
      <c r="G108" s="1">
        <v>58</v>
      </c>
      <c r="H108" s="1">
        <v>21</v>
      </c>
      <c r="I108" s="1" t="s">
        <v>208</v>
      </c>
      <c r="J108">
        <f t="shared" si="4"/>
        <v>1218</v>
      </c>
      <c r="K108">
        <f t="shared" si="5"/>
        <v>179</v>
      </c>
      <c r="L108">
        <f t="shared" si="6"/>
        <v>0.63687150837988826</v>
      </c>
      <c r="M108" t="str" cm="1">
        <f t="array" ref="M108">_xlfn.IFS(G108&lt;50,"Low Stock",G108&lt;100,"Medium Stock",G108&gt;=100,"Healthy Stock")</f>
        <v>Medium Stock</v>
      </c>
      <c r="N108" s="21">
        <f t="shared" si="7"/>
        <v>1218</v>
      </c>
    </row>
    <row r="109" spans="1:14">
      <c r="A109" s="1" t="s">
        <v>149</v>
      </c>
      <c r="B109" s="1" t="s">
        <v>179</v>
      </c>
      <c r="C109" s="1" t="s">
        <v>17</v>
      </c>
      <c r="D109" s="1">
        <v>55</v>
      </c>
      <c r="E109" s="1">
        <v>61</v>
      </c>
      <c r="F109" s="1">
        <v>41</v>
      </c>
      <c r="G109" s="1">
        <v>75</v>
      </c>
      <c r="H109" s="1">
        <v>76</v>
      </c>
      <c r="I109" s="1" t="s">
        <v>33</v>
      </c>
      <c r="J109">
        <f t="shared" si="4"/>
        <v>5700</v>
      </c>
      <c r="K109">
        <f t="shared" si="5"/>
        <v>92.5</v>
      </c>
      <c r="L109">
        <f t="shared" si="6"/>
        <v>0.44324324324324327</v>
      </c>
      <c r="M109" t="str" cm="1">
        <f t="array" ref="M109">_xlfn.IFS(G109&lt;50,"Low Stock",G109&lt;100,"Medium Stock",G109&gt;=100,"Healthy Stock")</f>
        <v>Medium Stock</v>
      </c>
      <c r="N109" s="21">
        <f t="shared" si="7"/>
        <v>5700</v>
      </c>
    </row>
    <row r="110" spans="1:14">
      <c r="A110" s="1" t="s">
        <v>152</v>
      </c>
      <c r="B110" s="1" t="s">
        <v>182</v>
      </c>
      <c r="C110" s="1" t="s">
        <v>146</v>
      </c>
      <c r="D110" s="1">
        <v>131</v>
      </c>
      <c r="E110" s="1">
        <v>67</v>
      </c>
      <c r="F110" s="1">
        <v>30</v>
      </c>
      <c r="G110" s="1">
        <v>168</v>
      </c>
      <c r="H110" s="1">
        <v>63</v>
      </c>
      <c r="I110" s="1" t="s">
        <v>35</v>
      </c>
      <c r="J110">
        <f t="shared" si="4"/>
        <v>10584</v>
      </c>
      <c r="K110">
        <f t="shared" si="5"/>
        <v>215</v>
      </c>
      <c r="L110">
        <f t="shared" si="6"/>
        <v>0.13953488372093023</v>
      </c>
      <c r="M110" t="str" cm="1">
        <f t="array" ref="M110">_xlfn.IFS(G110&lt;50,"Low Stock",G110&lt;100,"Medium Stock",G110&gt;=100,"Healthy Stock")</f>
        <v>Healthy Stock</v>
      </c>
      <c r="N110" s="21">
        <f t="shared" si="7"/>
        <v>10584</v>
      </c>
    </row>
    <row r="111" spans="1:14">
      <c r="A111" s="1" t="s">
        <v>163</v>
      </c>
      <c r="B111" s="1" t="s">
        <v>193</v>
      </c>
      <c r="C111" s="1" t="s">
        <v>146</v>
      </c>
      <c r="D111" s="1">
        <v>89</v>
      </c>
      <c r="E111" s="1">
        <v>110</v>
      </c>
      <c r="F111" s="1">
        <v>135</v>
      </c>
      <c r="G111" s="1">
        <v>64</v>
      </c>
      <c r="H111" s="1">
        <v>42</v>
      </c>
      <c r="I111" s="1" t="s">
        <v>36</v>
      </c>
      <c r="J111">
        <f t="shared" si="4"/>
        <v>2688</v>
      </c>
      <c r="K111">
        <f t="shared" si="5"/>
        <v>121</v>
      </c>
      <c r="L111">
        <f t="shared" si="6"/>
        <v>1.115702479338843</v>
      </c>
      <c r="M111" t="str" cm="1">
        <f t="array" ref="M111">_xlfn.IFS(G111&lt;50,"Low Stock",G111&lt;100,"Medium Stock",G111&gt;=100,"Healthy Stock")</f>
        <v>Medium Stock</v>
      </c>
      <c r="N111" s="21">
        <f t="shared" si="7"/>
        <v>2688</v>
      </c>
    </row>
    <row r="112" spans="1:14">
      <c r="A112" s="1" t="s">
        <v>8</v>
      </c>
      <c r="B112" s="1" t="s">
        <v>9</v>
      </c>
      <c r="C112" s="1" t="s">
        <v>10</v>
      </c>
      <c r="D112" s="1">
        <v>104</v>
      </c>
      <c r="E112" s="1">
        <v>44</v>
      </c>
      <c r="F112" s="1">
        <v>144</v>
      </c>
      <c r="G112" s="1">
        <v>4</v>
      </c>
      <c r="H112" s="1">
        <v>96</v>
      </c>
      <c r="I112" s="1" t="s">
        <v>34</v>
      </c>
      <c r="J112">
        <f t="shared" si="4"/>
        <v>384</v>
      </c>
      <c r="K112">
        <f t="shared" si="5"/>
        <v>106</v>
      </c>
      <c r="L112">
        <f t="shared" si="6"/>
        <v>1.3584905660377358</v>
      </c>
      <c r="M112" t="str" cm="1">
        <f t="array" ref="M112">_xlfn.IFS(G112&lt;50,"Low Stock",G112&lt;100,"Medium Stock",G112&gt;=100,"Healthy Stock")</f>
        <v>Low Stock</v>
      </c>
      <c r="N112" s="21">
        <f t="shared" si="7"/>
        <v>384</v>
      </c>
    </row>
    <row r="113" spans="1:14">
      <c r="A113" s="1" t="s">
        <v>159</v>
      </c>
      <c r="B113" s="1" t="s">
        <v>189</v>
      </c>
      <c r="C113" s="1" t="s">
        <v>146</v>
      </c>
      <c r="D113" s="1">
        <v>175</v>
      </c>
      <c r="E113" s="1">
        <v>34</v>
      </c>
      <c r="F113" s="1">
        <v>146</v>
      </c>
      <c r="G113" s="1">
        <v>63</v>
      </c>
      <c r="H113" s="1">
        <v>61</v>
      </c>
      <c r="I113" s="1" t="s">
        <v>36</v>
      </c>
      <c r="J113">
        <f t="shared" si="4"/>
        <v>3843</v>
      </c>
      <c r="K113">
        <f t="shared" si="5"/>
        <v>206.5</v>
      </c>
      <c r="L113">
        <f t="shared" si="6"/>
        <v>0.70702179176755453</v>
      </c>
      <c r="M113" t="str" cm="1">
        <f t="array" ref="M113">_xlfn.IFS(G113&lt;50,"Low Stock",G113&lt;100,"Medium Stock",G113&gt;=100,"Healthy Stock")</f>
        <v>Medium Stock</v>
      </c>
      <c r="N113" s="21">
        <f t="shared" si="7"/>
        <v>3843</v>
      </c>
    </row>
    <row r="114" spans="1:14">
      <c r="A114" s="1" t="s">
        <v>161</v>
      </c>
      <c r="B114" s="1" t="s">
        <v>191</v>
      </c>
      <c r="C114" s="1" t="s">
        <v>147</v>
      </c>
      <c r="D114" s="1">
        <v>155</v>
      </c>
      <c r="E114" s="1">
        <v>20</v>
      </c>
      <c r="F114" s="1">
        <v>73</v>
      </c>
      <c r="G114" s="1">
        <v>102</v>
      </c>
      <c r="H114" s="1">
        <v>88</v>
      </c>
      <c r="I114" s="1" t="s">
        <v>34</v>
      </c>
      <c r="J114">
        <f t="shared" si="4"/>
        <v>8976</v>
      </c>
      <c r="K114">
        <f t="shared" si="5"/>
        <v>206</v>
      </c>
      <c r="L114">
        <f t="shared" si="6"/>
        <v>0.35436893203883496</v>
      </c>
      <c r="M114" t="str" cm="1">
        <f t="array" ref="M114">_xlfn.IFS(G114&lt;50,"Low Stock",G114&lt;100,"Medium Stock",G114&gt;=100,"Healthy Stock")</f>
        <v>Healthy Stock</v>
      </c>
      <c r="N114" s="21">
        <f t="shared" si="7"/>
        <v>8976</v>
      </c>
    </row>
    <row r="115" spans="1:14">
      <c r="A115" s="1" t="s">
        <v>173</v>
      </c>
      <c r="B115" s="1" t="s">
        <v>203</v>
      </c>
      <c r="C115" s="1" t="s">
        <v>17</v>
      </c>
      <c r="D115" s="1">
        <v>55</v>
      </c>
      <c r="E115" s="1">
        <v>48</v>
      </c>
      <c r="F115" s="1">
        <v>160</v>
      </c>
      <c r="G115" s="1">
        <v>-57</v>
      </c>
      <c r="H115" s="1">
        <v>69</v>
      </c>
      <c r="I115" s="1" t="s">
        <v>33</v>
      </c>
      <c r="J115">
        <f t="shared" si="4"/>
        <v>-3933</v>
      </c>
      <c r="K115">
        <f t="shared" si="5"/>
        <v>26.5</v>
      </c>
      <c r="L115">
        <f t="shared" si="6"/>
        <v>6.0377358490566042</v>
      </c>
      <c r="M115" t="str" cm="1">
        <f t="array" ref="M115">_xlfn.IFS(G115&lt;50,"Low Stock",G115&lt;100,"Medium Stock",G115&gt;=100,"Healthy Stock")</f>
        <v>Low Stock</v>
      </c>
      <c r="N115" s="21">
        <f t="shared" si="7"/>
        <v>-3933</v>
      </c>
    </row>
    <row r="116" spans="1:14">
      <c r="A116" s="1" t="s">
        <v>150</v>
      </c>
      <c r="B116" s="1" t="s">
        <v>180</v>
      </c>
      <c r="C116" s="1" t="s">
        <v>17</v>
      </c>
      <c r="D116" s="1">
        <v>163</v>
      </c>
      <c r="E116" s="1">
        <v>85</v>
      </c>
      <c r="F116" s="1">
        <v>106</v>
      </c>
      <c r="G116" s="1">
        <v>142</v>
      </c>
      <c r="H116" s="1">
        <v>101</v>
      </c>
      <c r="I116" s="1" t="s">
        <v>36</v>
      </c>
      <c r="J116">
        <f t="shared" si="4"/>
        <v>14342</v>
      </c>
      <c r="K116">
        <f t="shared" si="5"/>
        <v>234</v>
      </c>
      <c r="L116">
        <f t="shared" si="6"/>
        <v>0.45299145299145299</v>
      </c>
      <c r="M116" t="str" cm="1">
        <f t="array" ref="M116">_xlfn.IFS(G116&lt;50,"Low Stock",G116&lt;100,"Medium Stock",G116&gt;=100,"Healthy Stock")</f>
        <v>Healthy Stock</v>
      </c>
      <c r="N116" s="21">
        <f t="shared" si="7"/>
        <v>14342</v>
      </c>
    </row>
    <row r="117" spans="1:14">
      <c r="A117" s="1" t="s">
        <v>167</v>
      </c>
      <c r="B117" s="1" t="s">
        <v>197</v>
      </c>
      <c r="C117" s="1" t="s">
        <v>17</v>
      </c>
      <c r="D117" s="1">
        <v>51</v>
      </c>
      <c r="E117" s="1">
        <v>70</v>
      </c>
      <c r="F117" s="1">
        <v>112</v>
      </c>
      <c r="G117" s="1">
        <v>9</v>
      </c>
      <c r="H117" s="1">
        <v>55</v>
      </c>
      <c r="I117" s="1" t="s">
        <v>208</v>
      </c>
      <c r="J117">
        <f t="shared" si="4"/>
        <v>495</v>
      </c>
      <c r="K117">
        <f t="shared" si="5"/>
        <v>55.5</v>
      </c>
      <c r="L117">
        <f t="shared" si="6"/>
        <v>2.0180180180180178</v>
      </c>
      <c r="M117" t="str" cm="1">
        <f t="array" ref="M117">_xlfn.IFS(G117&lt;50,"Low Stock",G117&lt;100,"Medium Stock",G117&gt;=100,"Healthy Stock")</f>
        <v>Low Stock</v>
      </c>
      <c r="N117" s="21">
        <f t="shared" si="7"/>
        <v>495</v>
      </c>
    </row>
    <row r="118" spans="1:14">
      <c r="A118" s="1" t="s">
        <v>166</v>
      </c>
      <c r="B118" s="1" t="s">
        <v>196</v>
      </c>
      <c r="C118" s="1" t="s">
        <v>7</v>
      </c>
      <c r="D118" s="1">
        <v>144</v>
      </c>
      <c r="E118" s="1">
        <v>32</v>
      </c>
      <c r="F118" s="1">
        <v>71</v>
      </c>
      <c r="G118" s="1">
        <v>105</v>
      </c>
      <c r="H118" s="1">
        <v>78</v>
      </c>
      <c r="I118" s="1" t="s">
        <v>208</v>
      </c>
      <c r="J118">
        <f t="shared" si="4"/>
        <v>8190</v>
      </c>
      <c r="K118">
        <f t="shared" si="5"/>
        <v>196.5</v>
      </c>
      <c r="L118">
        <f t="shared" si="6"/>
        <v>0.361323155216285</v>
      </c>
      <c r="M118" t="str" cm="1">
        <f t="array" ref="M118">_xlfn.IFS(G118&lt;50,"Low Stock",G118&lt;100,"Medium Stock",G118&gt;=100,"Healthy Stock")</f>
        <v>Healthy Stock</v>
      </c>
      <c r="N118" s="21">
        <f t="shared" si="7"/>
        <v>8190</v>
      </c>
    </row>
    <row r="119" spans="1:14">
      <c r="A119" s="1" t="s">
        <v>151</v>
      </c>
      <c r="B119" s="1" t="s">
        <v>181</v>
      </c>
      <c r="C119" s="1" t="s">
        <v>7</v>
      </c>
      <c r="D119" s="1">
        <v>99</v>
      </c>
      <c r="E119" s="1">
        <v>82</v>
      </c>
      <c r="F119" s="1">
        <v>154</v>
      </c>
      <c r="G119" s="1">
        <v>27</v>
      </c>
      <c r="H119" s="1">
        <v>20</v>
      </c>
      <c r="I119" s="1" t="s">
        <v>34</v>
      </c>
      <c r="J119">
        <f t="shared" si="4"/>
        <v>540</v>
      </c>
      <c r="K119">
        <f t="shared" si="5"/>
        <v>112.5</v>
      </c>
      <c r="L119">
        <f t="shared" si="6"/>
        <v>1.3688888888888888</v>
      </c>
      <c r="M119" t="str" cm="1">
        <f t="array" ref="M119">_xlfn.IFS(G119&lt;50,"Low Stock",G119&lt;100,"Medium Stock",G119&gt;=100,"Healthy Stock")</f>
        <v>Low Stock</v>
      </c>
      <c r="N119" s="21">
        <f t="shared" si="7"/>
        <v>540</v>
      </c>
    </row>
    <row r="120" spans="1:14">
      <c r="A120" s="1" t="s">
        <v>24</v>
      </c>
      <c r="B120" s="1" t="s">
        <v>25</v>
      </c>
      <c r="C120" s="1" t="s">
        <v>146</v>
      </c>
      <c r="D120" s="1">
        <v>143</v>
      </c>
      <c r="E120" s="1">
        <v>51</v>
      </c>
      <c r="F120" s="1">
        <v>170</v>
      </c>
      <c r="G120" s="1">
        <v>24</v>
      </c>
      <c r="H120" s="1">
        <v>72</v>
      </c>
      <c r="I120" s="1" t="s">
        <v>35</v>
      </c>
      <c r="J120">
        <f t="shared" si="4"/>
        <v>1728</v>
      </c>
      <c r="K120">
        <f t="shared" si="5"/>
        <v>155</v>
      </c>
      <c r="L120">
        <f t="shared" si="6"/>
        <v>1.096774193548387</v>
      </c>
      <c r="M120" t="str" cm="1">
        <f t="array" ref="M120">_xlfn.IFS(G120&lt;50,"Low Stock",G120&lt;100,"Medium Stock",G120&gt;=100,"Healthy Stock")</f>
        <v>Low Stock</v>
      </c>
      <c r="N120" s="21">
        <f t="shared" si="7"/>
        <v>1728</v>
      </c>
    </row>
    <row r="121" spans="1:14">
      <c r="A121" s="1" t="s">
        <v>163</v>
      </c>
      <c r="B121" s="1" t="s">
        <v>193</v>
      </c>
      <c r="C121" s="1" t="s">
        <v>146</v>
      </c>
      <c r="D121" s="1">
        <v>64</v>
      </c>
      <c r="E121" s="1">
        <v>67</v>
      </c>
      <c r="F121" s="1">
        <v>173</v>
      </c>
      <c r="G121" s="1">
        <v>-42</v>
      </c>
      <c r="H121" s="1">
        <v>42</v>
      </c>
      <c r="I121" s="1" t="s">
        <v>33</v>
      </c>
      <c r="J121">
        <f t="shared" si="4"/>
        <v>-1764</v>
      </c>
      <c r="K121">
        <f t="shared" si="5"/>
        <v>43</v>
      </c>
      <c r="L121">
        <f t="shared" si="6"/>
        <v>4.0232558139534884</v>
      </c>
      <c r="M121" t="str" cm="1">
        <f t="array" ref="M121">_xlfn.IFS(G121&lt;50,"Low Stock",G121&lt;100,"Medium Stock",G121&gt;=100,"Healthy Stock")</f>
        <v>Low Stock</v>
      </c>
      <c r="N121" s="21">
        <f t="shared" si="7"/>
        <v>-1764</v>
      </c>
    </row>
    <row r="122" spans="1:14">
      <c r="A122" s="1" t="s">
        <v>154</v>
      </c>
      <c r="B122" s="1" t="s">
        <v>184</v>
      </c>
      <c r="C122" s="1" t="s">
        <v>17</v>
      </c>
      <c r="D122" s="1">
        <v>136</v>
      </c>
      <c r="E122" s="1">
        <v>38</v>
      </c>
      <c r="F122" s="1">
        <v>121</v>
      </c>
      <c r="G122" s="1">
        <v>53</v>
      </c>
      <c r="H122" s="1">
        <v>98</v>
      </c>
      <c r="I122" s="1" t="s">
        <v>34</v>
      </c>
      <c r="J122">
        <f t="shared" si="4"/>
        <v>5194</v>
      </c>
      <c r="K122">
        <f t="shared" si="5"/>
        <v>162.5</v>
      </c>
      <c r="L122">
        <f t="shared" si="6"/>
        <v>0.74461538461538457</v>
      </c>
      <c r="M122" t="str" cm="1">
        <f t="array" ref="M122">_xlfn.IFS(G122&lt;50,"Low Stock",G122&lt;100,"Medium Stock",G122&gt;=100,"Healthy Stock")</f>
        <v>Medium Stock</v>
      </c>
      <c r="N122" s="21">
        <f t="shared" si="7"/>
        <v>5194</v>
      </c>
    </row>
    <row r="123" spans="1:14">
      <c r="A123" s="1" t="s">
        <v>149</v>
      </c>
      <c r="B123" s="1" t="s">
        <v>179</v>
      </c>
      <c r="C123" s="1" t="s">
        <v>17</v>
      </c>
      <c r="D123" s="1">
        <v>115</v>
      </c>
      <c r="E123" s="1">
        <v>74</v>
      </c>
      <c r="F123" s="1">
        <v>105</v>
      </c>
      <c r="G123" s="1">
        <v>84</v>
      </c>
      <c r="H123" s="1">
        <v>76</v>
      </c>
      <c r="I123" s="1" t="s">
        <v>34</v>
      </c>
      <c r="J123">
        <f t="shared" si="4"/>
        <v>6384</v>
      </c>
      <c r="K123">
        <f t="shared" si="5"/>
        <v>157</v>
      </c>
      <c r="L123">
        <f t="shared" si="6"/>
        <v>0.66878980891719741</v>
      </c>
      <c r="M123" t="str" cm="1">
        <f t="array" ref="M123">_xlfn.IFS(G123&lt;50,"Low Stock",G123&lt;100,"Medium Stock",G123&gt;=100,"Healthy Stock")</f>
        <v>Medium Stock</v>
      </c>
      <c r="N123" s="21">
        <f t="shared" si="7"/>
        <v>6384</v>
      </c>
    </row>
    <row r="124" spans="1:14">
      <c r="A124" s="1" t="s">
        <v>15</v>
      </c>
      <c r="B124" s="1" t="s">
        <v>16</v>
      </c>
      <c r="C124" s="1" t="s">
        <v>10</v>
      </c>
      <c r="D124" s="1">
        <v>179</v>
      </c>
      <c r="E124" s="1">
        <v>47</v>
      </c>
      <c r="F124" s="1">
        <v>148</v>
      </c>
      <c r="G124" s="1">
        <v>78</v>
      </c>
      <c r="H124" s="1">
        <v>40</v>
      </c>
      <c r="I124" s="1" t="s">
        <v>36</v>
      </c>
      <c r="J124">
        <f t="shared" si="4"/>
        <v>3120</v>
      </c>
      <c r="K124">
        <f t="shared" si="5"/>
        <v>218</v>
      </c>
      <c r="L124">
        <f t="shared" si="6"/>
        <v>0.67889908256880738</v>
      </c>
      <c r="M124" t="str" cm="1">
        <f t="array" ref="M124">_xlfn.IFS(G124&lt;50,"Low Stock",G124&lt;100,"Medium Stock",G124&gt;=100,"Healthy Stock")</f>
        <v>Medium Stock</v>
      </c>
      <c r="N124" s="21">
        <f t="shared" si="7"/>
        <v>3120</v>
      </c>
    </row>
    <row r="125" spans="1:14">
      <c r="A125" s="1" t="s">
        <v>171</v>
      </c>
      <c r="B125" s="1" t="s">
        <v>201</v>
      </c>
      <c r="C125" s="1" t="s">
        <v>17</v>
      </c>
      <c r="D125" s="1">
        <v>177</v>
      </c>
      <c r="E125" s="1">
        <v>148</v>
      </c>
      <c r="F125" s="1">
        <v>86</v>
      </c>
      <c r="G125" s="1">
        <v>239</v>
      </c>
      <c r="H125" s="1">
        <v>96</v>
      </c>
      <c r="I125" s="1" t="s">
        <v>33</v>
      </c>
      <c r="J125">
        <f t="shared" si="4"/>
        <v>22944</v>
      </c>
      <c r="K125">
        <f t="shared" si="5"/>
        <v>296.5</v>
      </c>
      <c r="L125">
        <f t="shared" si="6"/>
        <v>0.2900505902192243</v>
      </c>
      <c r="M125" t="str" cm="1">
        <f t="array" ref="M125">_xlfn.IFS(G125&lt;50,"Low Stock",G125&lt;100,"Medium Stock",G125&gt;=100,"Healthy Stock")</f>
        <v>Healthy Stock</v>
      </c>
      <c r="N125" s="21">
        <f t="shared" si="7"/>
        <v>22944</v>
      </c>
    </row>
    <row r="126" spans="1:14">
      <c r="A126" s="1" t="s">
        <v>157</v>
      </c>
      <c r="B126" s="1" t="s">
        <v>187</v>
      </c>
      <c r="C126" s="1" t="s">
        <v>7</v>
      </c>
      <c r="D126" s="1">
        <v>175</v>
      </c>
      <c r="E126" s="1">
        <v>31</v>
      </c>
      <c r="F126" s="1">
        <v>95</v>
      </c>
      <c r="G126" s="1">
        <v>111</v>
      </c>
      <c r="H126" s="1">
        <v>10</v>
      </c>
      <c r="I126" s="1" t="s">
        <v>35</v>
      </c>
      <c r="J126">
        <f t="shared" si="4"/>
        <v>1110</v>
      </c>
      <c r="K126">
        <f t="shared" si="5"/>
        <v>230.5</v>
      </c>
      <c r="L126">
        <f t="shared" si="6"/>
        <v>0.4121475054229935</v>
      </c>
      <c r="M126" t="str" cm="1">
        <f t="array" ref="M126">_xlfn.IFS(G126&lt;50,"Low Stock",G126&lt;100,"Medium Stock",G126&gt;=100,"Healthy Stock")</f>
        <v>Healthy Stock</v>
      </c>
      <c r="N126" s="21">
        <f t="shared" si="7"/>
        <v>1110</v>
      </c>
    </row>
    <row r="127" spans="1:14">
      <c r="A127" s="1" t="s">
        <v>155</v>
      </c>
      <c r="B127" s="1" t="s">
        <v>185</v>
      </c>
      <c r="C127" s="1" t="s">
        <v>7</v>
      </c>
      <c r="D127" s="1">
        <v>59</v>
      </c>
      <c r="E127" s="1">
        <v>114</v>
      </c>
      <c r="F127" s="1">
        <v>106</v>
      </c>
      <c r="G127" s="1">
        <v>67</v>
      </c>
      <c r="H127" s="1">
        <v>93</v>
      </c>
      <c r="I127" s="1" t="s">
        <v>33</v>
      </c>
      <c r="J127">
        <f t="shared" si="4"/>
        <v>6231</v>
      </c>
      <c r="K127">
        <f t="shared" si="5"/>
        <v>92.5</v>
      </c>
      <c r="L127">
        <f t="shared" si="6"/>
        <v>1.145945945945946</v>
      </c>
      <c r="M127" t="str" cm="1">
        <f t="array" ref="M127">_xlfn.IFS(G127&lt;50,"Low Stock",G127&lt;100,"Medium Stock",G127&gt;=100,"Healthy Stock")</f>
        <v>Medium Stock</v>
      </c>
      <c r="N127" s="21">
        <f t="shared" si="7"/>
        <v>6231</v>
      </c>
    </row>
    <row r="128" spans="1:14">
      <c r="A128" s="1" t="s">
        <v>164</v>
      </c>
      <c r="B128" s="1" t="s">
        <v>194</v>
      </c>
      <c r="C128" s="1" t="s">
        <v>147</v>
      </c>
      <c r="D128" s="1">
        <v>58</v>
      </c>
      <c r="E128" s="1">
        <v>83</v>
      </c>
      <c r="F128" s="1">
        <v>82</v>
      </c>
      <c r="G128" s="1">
        <v>59</v>
      </c>
      <c r="H128" s="1">
        <v>92</v>
      </c>
      <c r="I128" s="1" t="s">
        <v>208</v>
      </c>
      <c r="J128">
        <f t="shared" si="4"/>
        <v>5428</v>
      </c>
      <c r="K128">
        <f t="shared" si="5"/>
        <v>87.5</v>
      </c>
      <c r="L128">
        <f t="shared" si="6"/>
        <v>0.93714285714285717</v>
      </c>
      <c r="M128" t="str" cm="1">
        <f t="array" ref="M128">_xlfn.IFS(G128&lt;50,"Low Stock",G128&lt;100,"Medium Stock",G128&gt;=100,"Healthy Stock")</f>
        <v>Medium Stock</v>
      </c>
      <c r="N128" s="21">
        <f t="shared" si="7"/>
        <v>5428</v>
      </c>
    </row>
    <row r="129" spans="1:14">
      <c r="A129" s="1" t="s">
        <v>156</v>
      </c>
      <c r="B129" s="1" t="s">
        <v>186</v>
      </c>
      <c r="C129" s="1" t="s">
        <v>147</v>
      </c>
      <c r="D129" s="1">
        <v>157</v>
      </c>
      <c r="E129" s="1">
        <v>149</v>
      </c>
      <c r="F129" s="1">
        <v>48</v>
      </c>
      <c r="G129" s="1">
        <v>258</v>
      </c>
      <c r="H129" s="1">
        <v>21</v>
      </c>
      <c r="I129" s="1" t="s">
        <v>33</v>
      </c>
      <c r="J129">
        <f t="shared" si="4"/>
        <v>5418</v>
      </c>
      <c r="K129">
        <f t="shared" si="5"/>
        <v>286</v>
      </c>
      <c r="L129">
        <f t="shared" si="6"/>
        <v>0.16783216783216784</v>
      </c>
      <c r="M129" t="str" cm="1">
        <f t="array" ref="M129">_xlfn.IFS(G129&lt;50,"Low Stock",G129&lt;100,"Medium Stock",G129&gt;=100,"Healthy Stock")</f>
        <v>Healthy Stock</v>
      </c>
      <c r="N129" s="21">
        <f t="shared" si="7"/>
        <v>5418</v>
      </c>
    </row>
    <row r="130" spans="1:14">
      <c r="A130" s="1" t="s">
        <v>5</v>
      </c>
      <c r="B130" s="1" t="s">
        <v>6</v>
      </c>
      <c r="C130" s="1" t="s">
        <v>7</v>
      </c>
      <c r="D130" s="1">
        <v>164</v>
      </c>
      <c r="E130" s="1">
        <v>70</v>
      </c>
      <c r="F130" s="1">
        <v>166</v>
      </c>
      <c r="G130" s="1">
        <v>68</v>
      </c>
      <c r="H130" s="1">
        <v>46</v>
      </c>
      <c r="I130" s="1" t="s">
        <v>36</v>
      </c>
      <c r="J130">
        <f t="shared" si="4"/>
        <v>3128</v>
      </c>
      <c r="K130">
        <f t="shared" si="5"/>
        <v>198</v>
      </c>
      <c r="L130">
        <f t="shared" si="6"/>
        <v>0.83838383838383834</v>
      </c>
      <c r="M130" t="str" cm="1">
        <f t="array" ref="M130">_xlfn.IFS(G130&lt;50,"Low Stock",G130&lt;100,"Medium Stock",G130&gt;=100,"Healthy Stock")</f>
        <v>Medium Stock</v>
      </c>
      <c r="N130" s="21">
        <f t="shared" si="7"/>
        <v>3128</v>
      </c>
    </row>
    <row r="131" spans="1:14">
      <c r="A131" s="1" t="s">
        <v>159</v>
      </c>
      <c r="B131" s="1" t="s">
        <v>189</v>
      </c>
      <c r="C131" s="1" t="s">
        <v>146</v>
      </c>
      <c r="D131" s="1">
        <v>83</v>
      </c>
      <c r="E131" s="1">
        <v>59</v>
      </c>
      <c r="F131" s="1">
        <v>158</v>
      </c>
      <c r="G131" s="1">
        <v>-16</v>
      </c>
      <c r="H131" s="1">
        <v>61</v>
      </c>
      <c r="I131" s="1" t="s">
        <v>36</v>
      </c>
      <c r="J131">
        <f t="shared" ref="J131:J194" si="8">G131*H131</f>
        <v>-976</v>
      </c>
      <c r="K131">
        <f t="shared" ref="K131:K194" si="9">D131+G131/2</f>
        <v>75</v>
      </c>
      <c r="L131">
        <f t="shared" ref="L131:L194" si="10">F131/K131</f>
        <v>2.1066666666666665</v>
      </c>
      <c r="M131" t="str" cm="1">
        <f t="array" ref="M131">_xlfn.IFS(G131&lt;50,"Low Stock",G131&lt;100,"Medium Stock",G131&gt;=100,"Healthy Stock")</f>
        <v>Low Stock</v>
      </c>
      <c r="N131" s="21">
        <f t="shared" ref="N131:N194" si="11">G131*H131</f>
        <v>-976</v>
      </c>
    </row>
    <row r="132" spans="1:14">
      <c r="A132" s="1" t="s">
        <v>170</v>
      </c>
      <c r="B132" s="1" t="s">
        <v>200</v>
      </c>
      <c r="C132" s="1" t="s">
        <v>17</v>
      </c>
      <c r="D132" s="1">
        <v>143</v>
      </c>
      <c r="E132" s="1">
        <v>144</v>
      </c>
      <c r="F132" s="1">
        <v>73</v>
      </c>
      <c r="G132" s="1">
        <v>214</v>
      </c>
      <c r="H132" s="1">
        <v>13</v>
      </c>
      <c r="I132" s="1" t="s">
        <v>33</v>
      </c>
      <c r="J132">
        <f t="shared" si="8"/>
        <v>2782</v>
      </c>
      <c r="K132">
        <f t="shared" si="9"/>
        <v>250</v>
      </c>
      <c r="L132">
        <f t="shared" si="10"/>
        <v>0.29199999999999998</v>
      </c>
      <c r="M132" t="str" cm="1">
        <f t="array" ref="M132">_xlfn.IFS(G132&lt;50,"Low Stock",G132&lt;100,"Medium Stock",G132&gt;=100,"Healthy Stock")</f>
        <v>Healthy Stock</v>
      </c>
      <c r="N132" s="21">
        <f t="shared" si="11"/>
        <v>2782</v>
      </c>
    </row>
    <row r="133" spans="1:14">
      <c r="A133" s="1" t="s">
        <v>168</v>
      </c>
      <c r="B133" s="1" t="s">
        <v>198</v>
      </c>
      <c r="C133" s="1" t="s">
        <v>17</v>
      </c>
      <c r="D133" s="1">
        <v>103</v>
      </c>
      <c r="E133" s="1">
        <v>74</v>
      </c>
      <c r="F133" s="1">
        <v>167</v>
      </c>
      <c r="G133" s="1">
        <v>10</v>
      </c>
      <c r="H133" s="1">
        <v>72</v>
      </c>
      <c r="I133" s="1" t="s">
        <v>36</v>
      </c>
      <c r="J133">
        <f t="shared" si="8"/>
        <v>720</v>
      </c>
      <c r="K133">
        <f t="shared" si="9"/>
        <v>108</v>
      </c>
      <c r="L133">
        <f t="shared" si="10"/>
        <v>1.5462962962962963</v>
      </c>
      <c r="M133" t="str" cm="1">
        <f t="array" ref="M133">_xlfn.IFS(G133&lt;50,"Low Stock",G133&lt;100,"Medium Stock",G133&gt;=100,"Healthy Stock")</f>
        <v>Low Stock</v>
      </c>
      <c r="N133" s="21">
        <f t="shared" si="11"/>
        <v>720</v>
      </c>
    </row>
    <row r="134" spans="1:14">
      <c r="A134" s="1" t="s">
        <v>18</v>
      </c>
      <c r="B134" s="1" t="s">
        <v>19</v>
      </c>
      <c r="C134" s="1" t="s">
        <v>146</v>
      </c>
      <c r="D134" s="1">
        <v>181</v>
      </c>
      <c r="E134" s="1">
        <v>21</v>
      </c>
      <c r="F134" s="1">
        <v>128</v>
      </c>
      <c r="G134" s="1">
        <v>74</v>
      </c>
      <c r="H134" s="1">
        <v>42</v>
      </c>
      <c r="I134" s="1" t="s">
        <v>208</v>
      </c>
      <c r="J134">
        <f t="shared" si="8"/>
        <v>3108</v>
      </c>
      <c r="K134">
        <f t="shared" si="9"/>
        <v>218</v>
      </c>
      <c r="L134">
        <f t="shared" si="10"/>
        <v>0.58715596330275233</v>
      </c>
      <c r="M134" t="str" cm="1">
        <f t="array" ref="M134">_xlfn.IFS(G134&lt;50,"Low Stock",G134&lt;100,"Medium Stock",G134&gt;=100,"Healthy Stock")</f>
        <v>Medium Stock</v>
      </c>
      <c r="N134" s="21">
        <f t="shared" si="11"/>
        <v>3108</v>
      </c>
    </row>
    <row r="135" spans="1:14">
      <c r="A135" s="1" t="s">
        <v>157</v>
      </c>
      <c r="B135" s="1" t="s">
        <v>187</v>
      </c>
      <c r="C135" s="1" t="s">
        <v>7</v>
      </c>
      <c r="D135" s="1">
        <v>164</v>
      </c>
      <c r="E135" s="1">
        <v>90</v>
      </c>
      <c r="F135" s="1">
        <v>70</v>
      </c>
      <c r="G135" s="1">
        <v>184</v>
      </c>
      <c r="H135" s="1">
        <v>10</v>
      </c>
      <c r="I135" s="1" t="s">
        <v>208</v>
      </c>
      <c r="J135">
        <f t="shared" si="8"/>
        <v>1840</v>
      </c>
      <c r="K135">
        <f t="shared" si="9"/>
        <v>256</v>
      </c>
      <c r="L135">
        <f t="shared" si="10"/>
        <v>0.2734375</v>
      </c>
      <c r="M135" t="str" cm="1">
        <f t="array" ref="M135">_xlfn.IFS(G135&lt;50,"Low Stock",G135&lt;100,"Medium Stock",G135&gt;=100,"Healthy Stock")</f>
        <v>Healthy Stock</v>
      </c>
      <c r="N135" s="21">
        <f t="shared" si="11"/>
        <v>1840</v>
      </c>
    </row>
    <row r="136" spans="1:14">
      <c r="A136" s="1" t="s">
        <v>156</v>
      </c>
      <c r="B136" s="1" t="s">
        <v>186</v>
      </c>
      <c r="C136" s="1" t="s">
        <v>147</v>
      </c>
      <c r="D136" s="1">
        <v>106</v>
      </c>
      <c r="E136" s="1">
        <v>22</v>
      </c>
      <c r="F136" s="1">
        <v>145</v>
      </c>
      <c r="G136" s="1">
        <v>-17</v>
      </c>
      <c r="H136" s="1">
        <v>21</v>
      </c>
      <c r="I136" s="1" t="s">
        <v>208</v>
      </c>
      <c r="J136">
        <f t="shared" si="8"/>
        <v>-357</v>
      </c>
      <c r="K136">
        <f t="shared" si="9"/>
        <v>97.5</v>
      </c>
      <c r="L136">
        <f t="shared" si="10"/>
        <v>1.4871794871794872</v>
      </c>
      <c r="M136" t="str" cm="1">
        <f t="array" ref="M136">_xlfn.IFS(G136&lt;50,"Low Stock",G136&lt;100,"Medium Stock",G136&gt;=100,"Healthy Stock")</f>
        <v>Low Stock</v>
      </c>
      <c r="N136" s="21">
        <f t="shared" si="11"/>
        <v>-357</v>
      </c>
    </row>
    <row r="137" spans="1:14">
      <c r="A137" s="1" t="s">
        <v>148</v>
      </c>
      <c r="B137" s="1" t="s">
        <v>178</v>
      </c>
      <c r="C137" s="1" t="s">
        <v>147</v>
      </c>
      <c r="D137" s="1">
        <v>129</v>
      </c>
      <c r="E137" s="1">
        <v>45</v>
      </c>
      <c r="F137" s="1">
        <v>177</v>
      </c>
      <c r="G137" s="1">
        <v>-3</v>
      </c>
      <c r="H137" s="1">
        <v>59</v>
      </c>
      <c r="I137" s="1" t="s">
        <v>35</v>
      </c>
      <c r="J137">
        <f t="shared" si="8"/>
        <v>-177</v>
      </c>
      <c r="K137">
        <f t="shared" si="9"/>
        <v>127.5</v>
      </c>
      <c r="L137">
        <f t="shared" si="10"/>
        <v>1.388235294117647</v>
      </c>
      <c r="M137" t="str" cm="1">
        <f t="array" ref="M137">_xlfn.IFS(G137&lt;50,"Low Stock",G137&lt;100,"Medium Stock",G137&gt;=100,"Healthy Stock")</f>
        <v>Low Stock</v>
      </c>
      <c r="N137" s="21">
        <f t="shared" si="11"/>
        <v>-177</v>
      </c>
    </row>
    <row r="138" spans="1:14">
      <c r="A138" s="1" t="s">
        <v>172</v>
      </c>
      <c r="B138" s="1" t="s">
        <v>202</v>
      </c>
      <c r="C138" s="1" t="s">
        <v>17</v>
      </c>
      <c r="D138" s="1">
        <v>111</v>
      </c>
      <c r="E138" s="1">
        <v>95</v>
      </c>
      <c r="F138" s="1">
        <v>107</v>
      </c>
      <c r="G138" s="1">
        <v>99</v>
      </c>
      <c r="H138" s="1">
        <v>106</v>
      </c>
      <c r="I138" s="1" t="s">
        <v>208</v>
      </c>
      <c r="J138">
        <f t="shared" si="8"/>
        <v>10494</v>
      </c>
      <c r="K138">
        <f t="shared" si="9"/>
        <v>160.5</v>
      </c>
      <c r="L138">
        <f t="shared" si="10"/>
        <v>0.66666666666666663</v>
      </c>
      <c r="M138" t="str" cm="1">
        <f t="array" ref="M138">_xlfn.IFS(G138&lt;50,"Low Stock",G138&lt;100,"Medium Stock",G138&gt;=100,"Healthy Stock")</f>
        <v>Medium Stock</v>
      </c>
      <c r="N138" s="21">
        <f t="shared" si="11"/>
        <v>10494</v>
      </c>
    </row>
    <row r="139" spans="1:14">
      <c r="A139" s="1" t="s">
        <v>161</v>
      </c>
      <c r="B139" s="1" t="s">
        <v>191</v>
      </c>
      <c r="C139" s="1" t="s">
        <v>147</v>
      </c>
      <c r="D139" s="1">
        <v>70</v>
      </c>
      <c r="E139" s="1">
        <v>75</v>
      </c>
      <c r="F139" s="1">
        <v>58</v>
      </c>
      <c r="G139" s="1">
        <v>87</v>
      </c>
      <c r="H139" s="1">
        <v>88</v>
      </c>
      <c r="I139" s="1" t="s">
        <v>36</v>
      </c>
      <c r="J139">
        <f t="shared" si="8"/>
        <v>7656</v>
      </c>
      <c r="K139">
        <f t="shared" si="9"/>
        <v>113.5</v>
      </c>
      <c r="L139">
        <f t="shared" si="10"/>
        <v>0.51101321585903081</v>
      </c>
      <c r="M139" t="str" cm="1">
        <f t="array" ref="M139">_xlfn.IFS(G139&lt;50,"Low Stock",G139&lt;100,"Medium Stock",G139&gt;=100,"Healthy Stock")</f>
        <v>Medium Stock</v>
      </c>
      <c r="N139" s="21">
        <f t="shared" si="11"/>
        <v>7656</v>
      </c>
    </row>
    <row r="140" spans="1:14">
      <c r="A140" s="1" t="s">
        <v>169</v>
      </c>
      <c r="B140" s="1" t="s">
        <v>199</v>
      </c>
      <c r="C140" s="1" t="s">
        <v>10</v>
      </c>
      <c r="D140" s="1">
        <v>82</v>
      </c>
      <c r="E140" s="1">
        <v>109</v>
      </c>
      <c r="F140" s="1">
        <v>119</v>
      </c>
      <c r="G140" s="1">
        <v>72</v>
      </c>
      <c r="H140" s="1">
        <v>85</v>
      </c>
      <c r="I140" s="1" t="s">
        <v>36</v>
      </c>
      <c r="J140">
        <f t="shared" si="8"/>
        <v>6120</v>
      </c>
      <c r="K140">
        <f t="shared" si="9"/>
        <v>118</v>
      </c>
      <c r="L140">
        <f t="shared" si="10"/>
        <v>1.0084745762711864</v>
      </c>
      <c r="M140" t="str" cm="1">
        <f t="array" ref="M140">_xlfn.IFS(G140&lt;50,"Low Stock",G140&lt;100,"Medium Stock",G140&gt;=100,"Healthy Stock")</f>
        <v>Medium Stock</v>
      </c>
      <c r="N140" s="21">
        <f t="shared" si="11"/>
        <v>6120</v>
      </c>
    </row>
    <row r="141" spans="1:14">
      <c r="A141" s="1" t="s">
        <v>149</v>
      </c>
      <c r="B141" s="1" t="s">
        <v>179</v>
      </c>
      <c r="C141" s="1" t="s">
        <v>17</v>
      </c>
      <c r="D141" s="1">
        <v>67</v>
      </c>
      <c r="E141" s="1">
        <v>23</v>
      </c>
      <c r="F141" s="1">
        <v>165</v>
      </c>
      <c r="G141" s="1">
        <v>-75</v>
      </c>
      <c r="H141" s="1">
        <v>76</v>
      </c>
      <c r="I141" s="1" t="s">
        <v>34</v>
      </c>
      <c r="J141">
        <f t="shared" si="8"/>
        <v>-5700</v>
      </c>
      <c r="K141">
        <f t="shared" si="9"/>
        <v>29.5</v>
      </c>
      <c r="L141">
        <f t="shared" si="10"/>
        <v>5.593220338983051</v>
      </c>
      <c r="M141" t="str" cm="1">
        <f t="array" ref="M141">_xlfn.IFS(G141&lt;50,"Low Stock",G141&lt;100,"Medium Stock",G141&gt;=100,"Healthy Stock")</f>
        <v>Low Stock</v>
      </c>
      <c r="N141" s="21">
        <f t="shared" si="11"/>
        <v>-5700</v>
      </c>
    </row>
    <row r="142" spans="1:14">
      <c r="A142" s="1" t="s">
        <v>148</v>
      </c>
      <c r="B142" s="1" t="s">
        <v>178</v>
      </c>
      <c r="C142" s="1" t="s">
        <v>147</v>
      </c>
      <c r="D142" s="1">
        <v>72</v>
      </c>
      <c r="E142" s="1">
        <v>52</v>
      </c>
      <c r="F142" s="1">
        <v>74</v>
      </c>
      <c r="G142" s="1">
        <v>50</v>
      </c>
      <c r="H142" s="1">
        <v>59</v>
      </c>
      <c r="I142" s="1" t="s">
        <v>34</v>
      </c>
      <c r="J142">
        <f t="shared" si="8"/>
        <v>2950</v>
      </c>
      <c r="K142">
        <f t="shared" si="9"/>
        <v>97</v>
      </c>
      <c r="L142">
        <f t="shared" si="10"/>
        <v>0.76288659793814428</v>
      </c>
      <c r="M142" t="str" cm="1">
        <f t="array" ref="M142">_xlfn.IFS(G142&lt;50,"Low Stock",G142&lt;100,"Medium Stock",G142&gt;=100,"Healthy Stock")</f>
        <v>Medium Stock</v>
      </c>
      <c r="N142" s="21">
        <f t="shared" si="11"/>
        <v>2950</v>
      </c>
    </row>
    <row r="143" spans="1:14">
      <c r="A143" s="1" t="s">
        <v>22</v>
      </c>
      <c r="B143" s="1" t="s">
        <v>23</v>
      </c>
      <c r="C143" s="1" t="s">
        <v>10</v>
      </c>
      <c r="D143" s="1">
        <v>67</v>
      </c>
      <c r="E143" s="1">
        <v>119</v>
      </c>
      <c r="F143" s="1">
        <v>176</v>
      </c>
      <c r="G143" s="1">
        <v>10</v>
      </c>
      <c r="H143" s="1">
        <v>46</v>
      </c>
      <c r="I143" s="1" t="s">
        <v>35</v>
      </c>
      <c r="J143">
        <f t="shared" si="8"/>
        <v>460</v>
      </c>
      <c r="K143">
        <f t="shared" si="9"/>
        <v>72</v>
      </c>
      <c r="L143">
        <f t="shared" si="10"/>
        <v>2.4444444444444446</v>
      </c>
      <c r="M143" t="str" cm="1">
        <f t="array" ref="M143">_xlfn.IFS(G143&lt;50,"Low Stock",G143&lt;100,"Medium Stock",G143&gt;=100,"Healthy Stock")</f>
        <v>Low Stock</v>
      </c>
      <c r="N143" s="21">
        <f t="shared" si="11"/>
        <v>460</v>
      </c>
    </row>
    <row r="144" spans="1:14">
      <c r="A144" s="1" t="s">
        <v>13</v>
      </c>
      <c r="B144" s="1" t="s">
        <v>14</v>
      </c>
      <c r="C144" s="1" t="s">
        <v>147</v>
      </c>
      <c r="D144" s="1">
        <v>187</v>
      </c>
      <c r="E144" s="1">
        <v>49</v>
      </c>
      <c r="F144" s="1">
        <v>85</v>
      </c>
      <c r="G144" s="1">
        <v>151</v>
      </c>
      <c r="H144" s="1">
        <v>75</v>
      </c>
      <c r="I144" s="1" t="s">
        <v>34</v>
      </c>
      <c r="J144">
        <f t="shared" si="8"/>
        <v>11325</v>
      </c>
      <c r="K144">
        <f t="shared" si="9"/>
        <v>262.5</v>
      </c>
      <c r="L144">
        <f t="shared" si="10"/>
        <v>0.32380952380952382</v>
      </c>
      <c r="M144" t="str" cm="1">
        <f t="array" ref="M144">_xlfn.IFS(G144&lt;50,"Low Stock",G144&lt;100,"Medium Stock",G144&gt;=100,"Healthy Stock")</f>
        <v>Healthy Stock</v>
      </c>
      <c r="N144" s="21">
        <f t="shared" si="11"/>
        <v>11325</v>
      </c>
    </row>
    <row r="145" spans="1:14">
      <c r="A145" s="1" t="s">
        <v>166</v>
      </c>
      <c r="B145" s="1" t="s">
        <v>196</v>
      </c>
      <c r="C145" s="1" t="s">
        <v>7</v>
      </c>
      <c r="D145" s="1">
        <v>188</v>
      </c>
      <c r="E145" s="1">
        <v>35</v>
      </c>
      <c r="F145" s="1">
        <v>57</v>
      </c>
      <c r="G145" s="1">
        <v>166</v>
      </c>
      <c r="H145" s="1">
        <v>78</v>
      </c>
      <c r="I145" s="1" t="s">
        <v>34</v>
      </c>
      <c r="J145">
        <f t="shared" si="8"/>
        <v>12948</v>
      </c>
      <c r="K145">
        <f t="shared" si="9"/>
        <v>271</v>
      </c>
      <c r="L145">
        <f t="shared" si="10"/>
        <v>0.21033210332103322</v>
      </c>
      <c r="M145" t="str" cm="1">
        <f t="array" ref="M145">_xlfn.IFS(G145&lt;50,"Low Stock",G145&lt;100,"Medium Stock",G145&gt;=100,"Healthy Stock")</f>
        <v>Healthy Stock</v>
      </c>
      <c r="N145" s="21">
        <f t="shared" si="11"/>
        <v>12948</v>
      </c>
    </row>
    <row r="146" spans="1:14">
      <c r="A146" s="1" t="s">
        <v>159</v>
      </c>
      <c r="B146" s="1" t="s">
        <v>189</v>
      </c>
      <c r="C146" s="1" t="s">
        <v>146</v>
      </c>
      <c r="D146" s="1">
        <v>115</v>
      </c>
      <c r="E146" s="1">
        <v>72</v>
      </c>
      <c r="F146" s="1">
        <v>59</v>
      </c>
      <c r="G146" s="1">
        <v>128</v>
      </c>
      <c r="H146" s="1">
        <v>61</v>
      </c>
      <c r="I146" s="1" t="s">
        <v>33</v>
      </c>
      <c r="J146">
        <f t="shared" si="8"/>
        <v>7808</v>
      </c>
      <c r="K146">
        <f t="shared" si="9"/>
        <v>179</v>
      </c>
      <c r="L146">
        <f t="shared" si="10"/>
        <v>0.32960893854748602</v>
      </c>
      <c r="M146" t="str" cm="1">
        <f t="array" ref="M146">_xlfn.IFS(G146&lt;50,"Low Stock",G146&lt;100,"Medium Stock",G146&gt;=100,"Healthy Stock")</f>
        <v>Healthy Stock</v>
      </c>
      <c r="N146" s="21">
        <f t="shared" si="11"/>
        <v>7808</v>
      </c>
    </row>
    <row r="147" spans="1:14">
      <c r="A147" s="1" t="s">
        <v>8</v>
      </c>
      <c r="B147" s="1" t="s">
        <v>9</v>
      </c>
      <c r="C147" s="1" t="s">
        <v>10</v>
      </c>
      <c r="D147" s="1">
        <v>156</v>
      </c>
      <c r="E147" s="1">
        <v>62</v>
      </c>
      <c r="F147" s="1">
        <v>131</v>
      </c>
      <c r="G147" s="1">
        <v>87</v>
      </c>
      <c r="H147" s="1">
        <v>96</v>
      </c>
      <c r="I147" s="1" t="s">
        <v>34</v>
      </c>
      <c r="J147">
        <f t="shared" si="8"/>
        <v>8352</v>
      </c>
      <c r="K147">
        <f t="shared" si="9"/>
        <v>199.5</v>
      </c>
      <c r="L147">
        <f t="shared" si="10"/>
        <v>0.65664160401002503</v>
      </c>
      <c r="M147" t="str" cm="1">
        <f t="array" ref="M147">_xlfn.IFS(G147&lt;50,"Low Stock",G147&lt;100,"Medium Stock",G147&gt;=100,"Healthy Stock")</f>
        <v>Medium Stock</v>
      </c>
      <c r="N147" s="21">
        <f t="shared" si="11"/>
        <v>8352</v>
      </c>
    </row>
    <row r="148" spans="1:14">
      <c r="A148" s="1" t="s">
        <v>166</v>
      </c>
      <c r="B148" s="1" t="s">
        <v>196</v>
      </c>
      <c r="C148" s="1" t="s">
        <v>7</v>
      </c>
      <c r="D148" s="1">
        <v>51</v>
      </c>
      <c r="E148" s="1">
        <v>70</v>
      </c>
      <c r="F148" s="1">
        <v>84</v>
      </c>
      <c r="G148" s="1">
        <v>37</v>
      </c>
      <c r="H148" s="1">
        <v>78</v>
      </c>
      <c r="I148" s="1" t="s">
        <v>208</v>
      </c>
      <c r="J148">
        <f t="shared" si="8"/>
        <v>2886</v>
      </c>
      <c r="K148">
        <f t="shared" si="9"/>
        <v>69.5</v>
      </c>
      <c r="L148">
        <f t="shared" si="10"/>
        <v>1.2086330935251799</v>
      </c>
      <c r="M148" t="str" cm="1">
        <f t="array" ref="M148">_xlfn.IFS(G148&lt;50,"Low Stock",G148&lt;100,"Medium Stock",G148&gt;=100,"Healthy Stock")</f>
        <v>Low Stock</v>
      </c>
      <c r="N148" s="21">
        <f t="shared" si="11"/>
        <v>2886</v>
      </c>
    </row>
    <row r="149" spans="1:14">
      <c r="A149" s="1" t="s">
        <v>13</v>
      </c>
      <c r="B149" s="1" t="s">
        <v>14</v>
      </c>
      <c r="C149" s="1" t="s">
        <v>147</v>
      </c>
      <c r="D149" s="1">
        <v>53</v>
      </c>
      <c r="E149" s="1">
        <v>73</v>
      </c>
      <c r="F149" s="1">
        <v>36</v>
      </c>
      <c r="G149" s="1">
        <v>90</v>
      </c>
      <c r="H149" s="1">
        <v>75</v>
      </c>
      <c r="I149" s="1" t="s">
        <v>35</v>
      </c>
      <c r="J149">
        <f t="shared" si="8"/>
        <v>6750</v>
      </c>
      <c r="K149">
        <f t="shared" si="9"/>
        <v>98</v>
      </c>
      <c r="L149">
        <f t="shared" si="10"/>
        <v>0.36734693877551022</v>
      </c>
      <c r="M149" t="str" cm="1">
        <f t="array" ref="M149">_xlfn.IFS(G149&lt;50,"Low Stock",G149&lt;100,"Medium Stock",G149&gt;=100,"Healthy Stock")</f>
        <v>Medium Stock</v>
      </c>
      <c r="N149" s="21">
        <f t="shared" si="11"/>
        <v>6750</v>
      </c>
    </row>
    <row r="150" spans="1:14">
      <c r="A150" s="1" t="s">
        <v>176</v>
      </c>
      <c r="B150" s="1" t="s">
        <v>206</v>
      </c>
      <c r="C150" s="1" t="s">
        <v>146</v>
      </c>
      <c r="D150" s="1">
        <v>66</v>
      </c>
      <c r="E150" s="1">
        <v>129</v>
      </c>
      <c r="F150" s="1">
        <v>157</v>
      </c>
      <c r="G150" s="1">
        <v>38</v>
      </c>
      <c r="H150" s="1">
        <v>118</v>
      </c>
      <c r="I150" s="1" t="s">
        <v>36</v>
      </c>
      <c r="J150">
        <f t="shared" si="8"/>
        <v>4484</v>
      </c>
      <c r="K150">
        <f t="shared" si="9"/>
        <v>85</v>
      </c>
      <c r="L150">
        <f t="shared" si="10"/>
        <v>1.8470588235294119</v>
      </c>
      <c r="M150" t="str" cm="1">
        <f t="array" ref="M150">_xlfn.IFS(G150&lt;50,"Low Stock",G150&lt;100,"Medium Stock",G150&gt;=100,"Healthy Stock")</f>
        <v>Low Stock</v>
      </c>
      <c r="N150" s="21">
        <f t="shared" si="11"/>
        <v>4484</v>
      </c>
    </row>
    <row r="151" spans="1:14">
      <c r="A151" s="1" t="s">
        <v>170</v>
      </c>
      <c r="B151" s="1" t="s">
        <v>200</v>
      </c>
      <c r="C151" s="1" t="s">
        <v>17</v>
      </c>
      <c r="D151" s="1">
        <v>185</v>
      </c>
      <c r="E151" s="1">
        <v>106</v>
      </c>
      <c r="F151" s="1">
        <v>44</v>
      </c>
      <c r="G151" s="1">
        <v>247</v>
      </c>
      <c r="H151" s="1">
        <v>13</v>
      </c>
      <c r="I151" s="1" t="s">
        <v>33</v>
      </c>
      <c r="J151">
        <f t="shared" si="8"/>
        <v>3211</v>
      </c>
      <c r="K151">
        <f t="shared" si="9"/>
        <v>308.5</v>
      </c>
      <c r="L151">
        <f t="shared" si="10"/>
        <v>0.14262560777957861</v>
      </c>
      <c r="M151" t="str" cm="1">
        <f t="array" ref="M151">_xlfn.IFS(G151&lt;50,"Low Stock",G151&lt;100,"Medium Stock",G151&gt;=100,"Healthy Stock")</f>
        <v>Healthy Stock</v>
      </c>
      <c r="N151" s="21">
        <f t="shared" si="11"/>
        <v>3211</v>
      </c>
    </row>
    <row r="152" spans="1:14">
      <c r="A152" s="1" t="s">
        <v>163</v>
      </c>
      <c r="B152" s="1" t="s">
        <v>193</v>
      </c>
      <c r="C152" s="1" t="s">
        <v>146</v>
      </c>
      <c r="D152" s="1">
        <v>82</v>
      </c>
      <c r="E152" s="1">
        <v>32</v>
      </c>
      <c r="F152" s="1">
        <v>58</v>
      </c>
      <c r="G152" s="1">
        <v>56</v>
      </c>
      <c r="H152" s="1">
        <v>42</v>
      </c>
      <c r="I152" s="1" t="s">
        <v>33</v>
      </c>
      <c r="J152">
        <f t="shared" si="8"/>
        <v>2352</v>
      </c>
      <c r="K152">
        <f t="shared" si="9"/>
        <v>110</v>
      </c>
      <c r="L152">
        <f t="shared" si="10"/>
        <v>0.52727272727272723</v>
      </c>
      <c r="M152" t="str" cm="1">
        <f t="array" ref="M152">_xlfn.IFS(G152&lt;50,"Low Stock",G152&lt;100,"Medium Stock",G152&gt;=100,"Healthy Stock")</f>
        <v>Medium Stock</v>
      </c>
      <c r="N152" s="21">
        <f t="shared" si="11"/>
        <v>2352</v>
      </c>
    </row>
    <row r="153" spans="1:14">
      <c r="A153" s="1" t="s">
        <v>157</v>
      </c>
      <c r="B153" s="1" t="s">
        <v>187</v>
      </c>
      <c r="C153" s="1" t="s">
        <v>7</v>
      </c>
      <c r="D153" s="1">
        <v>191</v>
      </c>
      <c r="E153" s="1">
        <v>58</v>
      </c>
      <c r="F153" s="1">
        <v>55</v>
      </c>
      <c r="G153" s="1">
        <v>194</v>
      </c>
      <c r="H153" s="1">
        <v>10</v>
      </c>
      <c r="I153" s="1" t="s">
        <v>208</v>
      </c>
      <c r="J153">
        <f t="shared" si="8"/>
        <v>1940</v>
      </c>
      <c r="K153">
        <f t="shared" si="9"/>
        <v>288</v>
      </c>
      <c r="L153">
        <f t="shared" si="10"/>
        <v>0.19097222222222221</v>
      </c>
      <c r="M153" t="str" cm="1">
        <f t="array" ref="M153">_xlfn.IFS(G153&lt;50,"Low Stock",G153&lt;100,"Medium Stock",G153&gt;=100,"Healthy Stock")</f>
        <v>Healthy Stock</v>
      </c>
      <c r="N153" s="21">
        <f t="shared" si="11"/>
        <v>1940</v>
      </c>
    </row>
    <row r="154" spans="1:14">
      <c r="A154" s="1" t="s">
        <v>165</v>
      </c>
      <c r="B154" s="1" t="s">
        <v>195</v>
      </c>
      <c r="C154" s="1" t="s">
        <v>147</v>
      </c>
      <c r="D154" s="1">
        <v>121</v>
      </c>
      <c r="E154" s="1">
        <v>41</v>
      </c>
      <c r="F154" s="1">
        <v>153</v>
      </c>
      <c r="G154" s="1">
        <v>9</v>
      </c>
      <c r="H154" s="1">
        <v>54</v>
      </c>
      <c r="I154" s="1" t="s">
        <v>33</v>
      </c>
      <c r="J154">
        <f t="shared" si="8"/>
        <v>486</v>
      </c>
      <c r="K154">
        <f t="shared" si="9"/>
        <v>125.5</v>
      </c>
      <c r="L154">
        <f t="shared" si="10"/>
        <v>1.2191235059760956</v>
      </c>
      <c r="M154" t="str" cm="1">
        <f t="array" ref="M154">_xlfn.IFS(G154&lt;50,"Low Stock",G154&lt;100,"Medium Stock",G154&gt;=100,"Healthy Stock")</f>
        <v>Low Stock</v>
      </c>
      <c r="N154" s="21">
        <f t="shared" si="11"/>
        <v>486</v>
      </c>
    </row>
    <row r="155" spans="1:14">
      <c r="A155" s="1" t="s">
        <v>172</v>
      </c>
      <c r="B155" s="1" t="s">
        <v>202</v>
      </c>
      <c r="C155" s="1" t="s">
        <v>17</v>
      </c>
      <c r="D155" s="1">
        <v>169</v>
      </c>
      <c r="E155" s="1">
        <v>82</v>
      </c>
      <c r="F155" s="1">
        <v>174</v>
      </c>
      <c r="G155" s="1">
        <v>77</v>
      </c>
      <c r="H155" s="1">
        <v>106</v>
      </c>
      <c r="I155" s="1" t="s">
        <v>208</v>
      </c>
      <c r="J155">
        <f t="shared" si="8"/>
        <v>8162</v>
      </c>
      <c r="K155">
        <f t="shared" si="9"/>
        <v>207.5</v>
      </c>
      <c r="L155">
        <f t="shared" si="10"/>
        <v>0.83855421686746989</v>
      </c>
      <c r="M155" t="str" cm="1">
        <f t="array" ref="M155">_xlfn.IFS(G155&lt;50,"Low Stock",G155&lt;100,"Medium Stock",G155&gt;=100,"Healthy Stock")</f>
        <v>Medium Stock</v>
      </c>
      <c r="N155" s="21">
        <f t="shared" si="11"/>
        <v>8162</v>
      </c>
    </row>
    <row r="156" spans="1:14">
      <c r="A156" s="1" t="s">
        <v>159</v>
      </c>
      <c r="B156" s="1" t="s">
        <v>189</v>
      </c>
      <c r="C156" s="1" t="s">
        <v>146</v>
      </c>
      <c r="D156" s="1">
        <v>78</v>
      </c>
      <c r="E156" s="1">
        <v>102</v>
      </c>
      <c r="F156" s="1">
        <v>120</v>
      </c>
      <c r="G156" s="1">
        <v>60</v>
      </c>
      <c r="H156" s="1">
        <v>61</v>
      </c>
      <c r="I156" s="1" t="s">
        <v>208</v>
      </c>
      <c r="J156">
        <f t="shared" si="8"/>
        <v>3660</v>
      </c>
      <c r="K156">
        <f t="shared" si="9"/>
        <v>108</v>
      </c>
      <c r="L156">
        <f t="shared" si="10"/>
        <v>1.1111111111111112</v>
      </c>
      <c r="M156" t="str" cm="1">
        <f t="array" ref="M156">_xlfn.IFS(G156&lt;50,"Low Stock",G156&lt;100,"Medium Stock",G156&gt;=100,"Healthy Stock")</f>
        <v>Medium Stock</v>
      </c>
      <c r="N156" s="21">
        <f t="shared" si="11"/>
        <v>3660</v>
      </c>
    </row>
    <row r="157" spans="1:14">
      <c r="A157" s="1" t="s">
        <v>163</v>
      </c>
      <c r="B157" s="1" t="s">
        <v>193</v>
      </c>
      <c r="C157" s="1" t="s">
        <v>146</v>
      </c>
      <c r="D157" s="1">
        <v>142</v>
      </c>
      <c r="E157" s="1">
        <v>145</v>
      </c>
      <c r="F157" s="1">
        <v>130</v>
      </c>
      <c r="G157" s="1">
        <v>157</v>
      </c>
      <c r="H157" s="1">
        <v>42</v>
      </c>
      <c r="I157" s="1" t="s">
        <v>33</v>
      </c>
      <c r="J157">
        <f t="shared" si="8"/>
        <v>6594</v>
      </c>
      <c r="K157">
        <f t="shared" si="9"/>
        <v>220.5</v>
      </c>
      <c r="L157">
        <f t="shared" si="10"/>
        <v>0.58956916099773238</v>
      </c>
      <c r="M157" t="str" cm="1">
        <f t="array" ref="M157">_xlfn.IFS(G157&lt;50,"Low Stock",G157&lt;100,"Medium Stock",G157&gt;=100,"Healthy Stock")</f>
        <v>Healthy Stock</v>
      </c>
      <c r="N157" s="21">
        <f t="shared" si="11"/>
        <v>6594</v>
      </c>
    </row>
    <row r="158" spans="1:14">
      <c r="A158" s="1" t="s">
        <v>152</v>
      </c>
      <c r="B158" s="1" t="s">
        <v>182</v>
      </c>
      <c r="C158" s="1" t="s">
        <v>146</v>
      </c>
      <c r="D158" s="1">
        <v>199</v>
      </c>
      <c r="E158" s="1">
        <v>95</v>
      </c>
      <c r="F158" s="1">
        <v>140</v>
      </c>
      <c r="G158" s="1">
        <v>154</v>
      </c>
      <c r="H158" s="1">
        <v>63</v>
      </c>
      <c r="I158" s="1" t="s">
        <v>34</v>
      </c>
      <c r="J158">
        <f t="shared" si="8"/>
        <v>9702</v>
      </c>
      <c r="K158">
        <f t="shared" si="9"/>
        <v>276</v>
      </c>
      <c r="L158">
        <f t="shared" si="10"/>
        <v>0.50724637681159424</v>
      </c>
      <c r="M158" t="str" cm="1">
        <f t="array" ref="M158">_xlfn.IFS(G158&lt;50,"Low Stock",G158&lt;100,"Medium Stock",G158&gt;=100,"Healthy Stock")</f>
        <v>Healthy Stock</v>
      </c>
      <c r="N158" s="21">
        <f t="shared" si="11"/>
        <v>9702</v>
      </c>
    </row>
    <row r="159" spans="1:14">
      <c r="A159" s="1" t="s">
        <v>8</v>
      </c>
      <c r="B159" s="1" t="s">
        <v>9</v>
      </c>
      <c r="C159" s="1" t="s">
        <v>10</v>
      </c>
      <c r="D159" s="1">
        <v>103</v>
      </c>
      <c r="E159" s="1">
        <v>101</v>
      </c>
      <c r="F159" s="1">
        <v>173</v>
      </c>
      <c r="G159" s="1">
        <v>31</v>
      </c>
      <c r="H159" s="1">
        <v>96</v>
      </c>
      <c r="I159" s="1" t="s">
        <v>34</v>
      </c>
      <c r="J159">
        <f t="shared" si="8"/>
        <v>2976</v>
      </c>
      <c r="K159">
        <f t="shared" si="9"/>
        <v>118.5</v>
      </c>
      <c r="L159">
        <f t="shared" si="10"/>
        <v>1.4599156118143459</v>
      </c>
      <c r="M159" t="str" cm="1">
        <f t="array" ref="M159">_xlfn.IFS(G159&lt;50,"Low Stock",G159&lt;100,"Medium Stock",G159&gt;=100,"Healthy Stock")</f>
        <v>Low Stock</v>
      </c>
      <c r="N159" s="21">
        <f t="shared" si="11"/>
        <v>2976</v>
      </c>
    </row>
    <row r="160" spans="1:14">
      <c r="A160" s="1" t="s">
        <v>26</v>
      </c>
      <c r="B160" s="1" t="s">
        <v>27</v>
      </c>
      <c r="C160" s="1" t="s">
        <v>147</v>
      </c>
      <c r="D160" s="1">
        <v>195</v>
      </c>
      <c r="E160" s="1">
        <v>122</v>
      </c>
      <c r="F160" s="1">
        <v>114</v>
      </c>
      <c r="G160" s="1">
        <v>203</v>
      </c>
      <c r="H160" s="1">
        <v>94</v>
      </c>
      <c r="I160" s="1" t="s">
        <v>35</v>
      </c>
      <c r="J160">
        <f t="shared" si="8"/>
        <v>19082</v>
      </c>
      <c r="K160">
        <f t="shared" si="9"/>
        <v>296.5</v>
      </c>
      <c r="L160">
        <f t="shared" si="10"/>
        <v>0.38448566610455309</v>
      </c>
      <c r="M160" t="str" cm="1">
        <f t="array" ref="M160">_xlfn.IFS(G160&lt;50,"Low Stock",G160&lt;100,"Medium Stock",G160&gt;=100,"Healthy Stock")</f>
        <v>Healthy Stock</v>
      </c>
      <c r="N160" s="21">
        <f t="shared" si="11"/>
        <v>19082</v>
      </c>
    </row>
    <row r="161" spans="1:14">
      <c r="A161" s="1" t="s">
        <v>170</v>
      </c>
      <c r="B161" s="1" t="s">
        <v>200</v>
      </c>
      <c r="C161" s="1" t="s">
        <v>17</v>
      </c>
      <c r="D161" s="1">
        <v>114</v>
      </c>
      <c r="E161" s="1">
        <v>121</v>
      </c>
      <c r="F161" s="1">
        <v>146</v>
      </c>
      <c r="G161" s="1">
        <v>89</v>
      </c>
      <c r="H161" s="1">
        <v>13</v>
      </c>
      <c r="I161" s="1" t="s">
        <v>35</v>
      </c>
      <c r="J161">
        <f t="shared" si="8"/>
        <v>1157</v>
      </c>
      <c r="K161">
        <f t="shared" si="9"/>
        <v>158.5</v>
      </c>
      <c r="L161">
        <f t="shared" si="10"/>
        <v>0.92113564668769721</v>
      </c>
      <c r="M161" t="str" cm="1">
        <f t="array" ref="M161">_xlfn.IFS(G161&lt;50,"Low Stock",G161&lt;100,"Medium Stock",G161&gt;=100,"Healthy Stock")</f>
        <v>Medium Stock</v>
      </c>
      <c r="N161" s="21">
        <f t="shared" si="11"/>
        <v>1157</v>
      </c>
    </row>
    <row r="162" spans="1:14">
      <c r="A162" s="1" t="s">
        <v>24</v>
      </c>
      <c r="B162" s="1" t="s">
        <v>25</v>
      </c>
      <c r="C162" s="1" t="s">
        <v>146</v>
      </c>
      <c r="D162" s="1">
        <v>187</v>
      </c>
      <c r="E162" s="1">
        <v>102</v>
      </c>
      <c r="F162" s="1">
        <v>147</v>
      </c>
      <c r="G162" s="1">
        <v>142</v>
      </c>
      <c r="H162" s="1">
        <v>72</v>
      </c>
      <c r="I162" s="1" t="s">
        <v>208</v>
      </c>
      <c r="J162">
        <f t="shared" si="8"/>
        <v>10224</v>
      </c>
      <c r="K162">
        <f t="shared" si="9"/>
        <v>258</v>
      </c>
      <c r="L162">
        <f t="shared" si="10"/>
        <v>0.56976744186046513</v>
      </c>
      <c r="M162" t="str" cm="1">
        <f t="array" ref="M162">_xlfn.IFS(G162&lt;50,"Low Stock",G162&lt;100,"Medium Stock",G162&gt;=100,"Healthy Stock")</f>
        <v>Healthy Stock</v>
      </c>
      <c r="N162" s="21">
        <f t="shared" si="11"/>
        <v>10224</v>
      </c>
    </row>
    <row r="163" spans="1:14">
      <c r="A163" s="1" t="s">
        <v>155</v>
      </c>
      <c r="B163" s="1" t="s">
        <v>185</v>
      </c>
      <c r="C163" s="1" t="s">
        <v>7</v>
      </c>
      <c r="D163" s="1">
        <v>164</v>
      </c>
      <c r="E163" s="1">
        <v>96</v>
      </c>
      <c r="F163" s="1">
        <v>146</v>
      </c>
      <c r="G163" s="1">
        <v>114</v>
      </c>
      <c r="H163" s="1">
        <v>93</v>
      </c>
      <c r="I163" s="1" t="s">
        <v>35</v>
      </c>
      <c r="J163">
        <f t="shared" si="8"/>
        <v>10602</v>
      </c>
      <c r="K163">
        <f t="shared" si="9"/>
        <v>221</v>
      </c>
      <c r="L163">
        <f t="shared" si="10"/>
        <v>0.66063348416289591</v>
      </c>
      <c r="M163" t="str" cm="1">
        <f t="array" ref="M163">_xlfn.IFS(G163&lt;50,"Low Stock",G163&lt;100,"Medium Stock",G163&gt;=100,"Healthy Stock")</f>
        <v>Healthy Stock</v>
      </c>
      <c r="N163" s="21">
        <f t="shared" si="11"/>
        <v>10602</v>
      </c>
    </row>
    <row r="164" spans="1:14">
      <c r="A164" s="1" t="s">
        <v>164</v>
      </c>
      <c r="B164" s="1" t="s">
        <v>194</v>
      </c>
      <c r="C164" s="1" t="s">
        <v>147</v>
      </c>
      <c r="D164" s="1">
        <v>174</v>
      </c>
      <c r="E164" s="1">
        <v>144</v>
      </c>
      <c r="F164" s="1">
        <v>107</v>
      </c>
      <c r="G164" s="1">
        <v>211</v>
      </c>
      <c r="H164" s="1">
        <v>92</v>
      </c>
      <c r="I164" s="1" t="s">
        <v>34</v>
      </c>
      <c r="J164">
        <f t="shared" si="8"/>
        <v>19412</v>
      </c>
      <c r="K164">
        <f t="shared" si="9"/>
        <v>279.5</v>
      </c>
      <c r="L164">
        <f t="shared" si="10"/>
        <v>0.38282647584973167</v>
      </c>
      <c r="M164" t="str" cm="1">
        <f t="array" ref="M164">_xlfn.IFS(G164&lt;50,"Low Stock",G164&lt;100,"Medium Stock",G164&gt;=100,"Healthy Stock")</f>
        <v>Healthy Stock</v>
      </c>
      <c r="N164" s="21">
        <f t="shared" si="11"/>
        <v>19412</v>
      </c>
    </row>
    <row r="165" spans="1:14">
      <c r="A165" s="1" t="s">
        <v>8</v>
      </c>
      <c r="B165" s="1" t="s">
        <v>9</v>
      </c>
      <c r="C165" s="1" t="s">
        <v>10</v>
      </c>
      <c r="D165" s="1">
        <v>177</v>
      </c>
      <c r="E165" s="1">
        <v>43</v>
      </c>
      <c r="F165" s="1">
        <v>111</v>
      </c>
      <c r="G165" s="1">
        <v>109</v>
      </c>
      <c r="H165" s="1">
        <v>96</v>
      </c>
      <c r="I165" s="1" t="s">
        <v>35</v>
      </c>
      <c r="J165">
        <f t="shared" si="8"/>
        <v>10464</v>
      </c>
      <c r="K165">
        <f t="shared" si="9"/>
        <v>231.5</v>
      </c>
      <c r="L165">
        <f t="shared" si="10"/>
        <v>0.4794816414686825</v>
      </c>
      <c r="M165" t="str" cm="1">
        <f t="array" ref="M165">_xlfn.IFS(G165&lt;50,"Low Stock",G165&lt;100,"Medium Stock",G165&gt;=100,"Healthy Stock")</f>
        <v>Healthy Stock</v>
      </c>
      <c r="N165" s="21">
        <f t="shared" si="11"/>
        <v>10464</v>
      </c>
    </row>
    <row r="166" spans="1:14">
      <c r="A166" s="1" t="s">
        <v>170</v>
      </c>
      <c r="B166" s="1" t="s">
        <v>200</v>
      </c>
      <c r="C166" s="1" t="s">
        <v>17</v>
      </c>
      <c r="D166" s="1">
        <v>66</v>
      </c>
      <c r="E166" s="1">
        <v>117</v>
      </c>
      <c r="F166" s="1">
        <v>53</v>
      </c>
      <c r="G166" s="1">
        <v>130</v>
      </c>
      <c r="H166" s="1">
        <v>13</v>
      </c>
      <c r="I166" s="1" t="s">
        <v>208</v>
      </c>
      <c r="J166">
        <f t="shared" si="8"/>
        <v>1690</v>
      </c>
      <c r="K166">
        <f t="shared" si="9"/>
        <v>131</v>
      </c>
      <c r="L166">
        <f t="shared" si="10"/>
        <v>0.40458015267175573</v>
      </c>
      <c r="M166" t="str" cm="1">
        <f t="array" ref="M166">_xlfn.IFS(G166&lt;50,"Low Stock",G166&lt;100,"Medium Stock",G166&gt;=100,"Healthy Stock")</f>
        <v>Healthy Stock</v>
      </c>
      <c r="N166" s="21">
        <f t="shared" si="11"/>
        <v>1690</v>
      </c>
    </row>
    <row r="167" spans="1:14">
      <c r="A167" s="1" t="s">
        <v>158</v>
      </c>
      <c r="B167" s="1" t="s">
        <v>188</v>
      </c>
      <c r="C167" s="1" t="s">
        <v>10</v>
      </c>
      <c r="D167" s="1">
        <v>123</v>
      </c>
      <c r="E167" s="1">
        <v>36</v>
      </c>
      <c r="F167" s="1">
        <v>93</v>
      </c>
      <c r="G167" s="1">
        <v>66</v>
      </c>
      <c r="H167" s="1">
        <v>43</v>
      </c>
      <c r="I167" s="1" t="s">
        <v>33</v>
      </c>
      <c r="J167">
        <f t="shared" si="8"/>
        <v>2838</v>
      </c>
      <c r="K167">
        <f t="shared" si="9"/>
        <v>156</v>
      </c>
      <c r="L167">
        <f t="shared" si="10"/>
        <v>0.59615384615384615</v>
      </c>
      <c r="M167" t="str" cm="1">
        <f t="array" ref="M167">_xlfn.IFS(G167&lt;50,"Low Stock",G167&lt;100,"Medium Stock",G167&gt;=100,"Healthy Stock")</f>
        <v>Medium Stock</v>
      </c>
      <c r="N167" s="21">
        <f t="shared" si="11"/>
        <v>2838</v>
      </c>
    </row>
    <row r="168" spans="1:14">
      <c r="A168" s="1" t="s">
        <v>152</v>
      </c>
      <c r="B168" s="1" t="s">
        <v>182</v>
      </c>
      <c r="C168" s="1" t="s">
        <v>146</v>
      </c>
      <c r="D168" s="1">
        <v>114</v>
      </c>
      <c r="E168" s="1">
        <v>143</v>
      </c>
      <c r="F168" s="1">
        <v>120</v>
      </c>
      <c r="G168" s="1">
        <v>137</v>
      </c>
      <c r="H168" s="1">
        <v>63</v>
      </c>
      <c r="I168" s="1" t="s">
        <v>34</v>
      </c>
      <c r="J168">
        <f t="shared" si="8"/>
        <v>8631</v>
      </c>
      <c r="K168">
        <f t="shared" si="9"/>
        <v>182.5</v>
      </c>
      <c r="L168">
        <f t="shared" si="10"/>
        <v>0.65753424657534243</v>
      </c>
      <c r="M168" t="str" cm="1">
        <f t="array" ref="M168">_xlfn.IFS(G168&lt;50,"Low Stock",G168&lt;100,"Medium Stock",G168&gt;=100,"Healthy Stock")</f>
        <v>Healthy Stock</v>
      </c>
      <c r="N168" s="21">
        <f t="shared" si="11"/>
        <v>8631</v>
      </c>
    </row>
    <row r="169" spans="1:14">
      <c r="A169" s="1" t="s">
        <v>22</v>
      </c>
      <c r="B169" s="1" t="s">
        <v>23</v>
      </c>
      <c r="C169" s="1" t="s">
        <v>10</v>
      </c>
      <c r="D169" s="1">
        <v>112</v>
      </c>
      <c r="E169" s="1">
        <v>76</v>
      </c>
      <c r="F169" s="1">
        <v>32</v>
      </c>
      <c r="G169" s="1">
        <v>156</v>
      </c>
      <c r="H169" s="1">
        <v>46</v>
      </c>
      <c r="I169" s="1" t="s">
        <v>35</v>
      </c>
      <c r="J169">
        <f t="shared" si="8"/>
        <v>7176</v>
      </c>
      <c r="K169">
        <f t="shared" si="9"/>
        <v>190</v>
      </c>
      <c r="L169">
        <f t="shared" si="10"/>
        <v>0.16842105263157894</v>
      </c>
      <c r="M169" t="str" cm="1">
        <f t="array" ref="M169">_xlfn.IFS(G169&lt;50,"Low Stock",G169&lt;100,"Medium Stock",G169&gt;=100,"Healthy Stock")</f>
        <v>Healthy Stock</v>
      </c>
      <c r="N169" s="21">
        <f t="shared" si="11"/>
        <v>7176</v>
      </c>
    </row>
    <row r="170" spans="1:14">
      <c r="A170" s="1" t="s">
        <v>164</v>
      </c>
      <c r="B170" s="1" t="s">
        <v>194</v>
      </c>
      <c r="C170" s="1" t="s">
        <v>147</v>
      </c>
      <c r="D170" s="1">
        <v>57</v>
      </c>
      <c r="E170" s="1">
        <v>80</v>
      </c>
      <c r="F170" s="1">
        <v>138</v>
      </c>
      <c r="G170" s="1">
        <v>-1</v>
      </c>
      <c r="H170" s="1">
        <v>92</v>
      </c>
      <c r="I170" s="1" t="s">
        <v>34</v>
      </c>
      <c r="J170">
        <f t="shared" si="8"/>
        <v>-92</v>
      </c>
      <c r="K170">
        <f t="shared" si="9"/>
        <v>56.5</v>
      </c>
      <c r="L170">
        <f t="shared" si="10"/>
        <v>2.4424778761061945</v>
      </c>
      <c r="M170" t="str" cm="1">
        <f t="array" ref="M170">_xlfn.IFS(G170&lt;50,"Low Stock",G170&lt;100,"Medium Stock",G170&gt;=100,"Healthy Stock")</f>
        <v>Low Stock</v>
      </c>
      <c r="N170" s="21">
        <f t="shared" si="11"/>
        <v>-92</v>
      </c>
    </row>
    <row r="171" spans="1:14">
      <c r="A171" s="1" t="s">
        <v>169</v>
      </c>
      <c r="B171" s="1" t="s">
        <v>199</v>
      </c>
      <c r="C171" s="1" t="s">
        <v>10</v>
      </c>
      <c r="D171" s="1">
        <v>174</v>
      </c>
      <c r="E171" s="1">
        <v>146</v>
      </c>
      <c r="F171" s="1">
        <v>92</v>
      </c>
      <c r="G171" s="1">
        <v>228</v>
      </c>
      <c r="H171" s="1">
        <v>85</v>
      </c>
      <c r="I171" s="1" t="s">
        <v>208</v>
      </c>
      <c r="J171">
        <f t="shared" si="8"/>
        <v>19380</v>
      </c>
      <c r="K171">
        <f t="shared" si="9"/>
        <v>288</v>
      </c>
      <c r="L171">
        <f t="shared" si="10"/>
        <v>0.31944444444444442</v>
      </c>
      <c r="M171" t="str" cm="1">
        <f t="array" ref="M171">_xlfn.IFS(G171&lt;50,"Low Stock",G171&lt;100,"Medium Stock",G171&gt;=100,"Healthy Stock")</f>
        <v>Healthy Stock</v>
      </c>
      <c r="N171" s="21">
        <f t="shared" si="11"/>
        <v>19380</v>
      </c>
    </row>
    <row r="172" spans="1:14">
      <c r="A172" s="1" t="s">
        <v>18</v>
      </c>
      <c r="B172" s="1" t="s">
        <v>19</v>
      </c>
      <c r="C172" s="1" t="s">
        <v>146</v>
      </c>
      <c r="D172" s="1">
        <v>53</v>
      </c>
      <c r="E172" s="1">
        <v>73</v>
      </c>
      <c r="F172" s="1">
        <v>152</v>
      </c>
      <c r="G172" s="1">
        <v>-26</v>
      </c>
      <c r="H172" s="1">
        <v>42</v>
      </c>
      <c r="I172" s="1" t="s">
        <v>36</v>
      </c>
      <c r="J172">
        <f t="shared" si="8"/>
        <v>-1092</v>
      </c>
      <c r="K172">
        <f t="shared" si="9"/>
        <v>40</v>
      </c>
      <c r="L172">
        <f t="shared" si="10"/>
        <v>3.8</v>
      </c>
      <c r="M172" t="str" cm="1">
        <f t="array" ref="M172">_xlfn.IFS(G172&lt;50,"Low Stock",G172&lt;100,"Medium Stock",G172&gt;=100,"Healthy Stock")</f>
        <v>Low Stock</v>
      </c>
      <c r="N172" s="21">
        <f t="shared" si="11"/>
        <v>-1092</v>
      </c>
    </row>
    <row r="173" spans="1:14">
      <c r="A173" s="1" t="s">
        <v>167</v>
      </c>
      <c r="B173" s="1" t="s">
        <v>197</v>
      </c>
      <c r="C173" s="1" t="s">
        <v>17</v>
      </c>
      <c r="D173" s="1">
        <v>193</v>
      </c>
      <c r="E173" s="1">
        <v>139</v>
      </c>
      <c r="F173" s="1">
        <v>131</v>
      </c>
      <c r="G173" s="1">
        <v>201</v>
      </c>
      <c r="H173" s="1">
        <v>55</v>
      </c>
      <c r="I173" s="1" t="s">
        <v>35</v>
      </c>
      <c r="J173">
        <f t="shared" si="8"/>
        <v>11055</v>
      </c>
      <c r="K173">
        <f t="shared" si="9"/>
        <v>293.5</v>
      </c>
      <c r="L173">
        <f t="shared" si="10"/>
        <v>0.44633730834752983</v>
      </c>
      <c r="M173" t="str" cm="1">
        <f t="array" ref="M173">_xlfn.IFS(G173&lt;50,"Low Stock",G173&lt;100,"Medium Stock",G173&gt;=100,"Healthy Stock")</f>
        <v>Healthy Stock</v>
      </c>
      <c r="N173" s="21">
        <f t="shared" si="11"/>
        <v>11055</v>
      </c>
    </row>
    <row r="174" spans="1:14">
      <c r="A174" s="1" t="s">
        <v>170</v>
      </c>
      <c r="B174" s="1" t="s">
        <v>200</v>
      </c>
      <c r="C174" s="1" t="s">
        <v>17</v>
      </c>
      <c r="D174" s="1">
        <v>85</v>
      </c>
      <c r="E174" s="1">
        <v>87</v>
      </c>
      <c r="F174" s="1">
        <v>95</v>
      </c>
      <c r="G174" s="1">
        <v>77</v>
      </c>
      <c r="H174" s="1">
        <v>13</v>
      </c>
      <c r="I174" s="1" t="s">
        <v>33</v>
      </c>
      <c r="J174">
        <f t="shared" si="8"/>
        <v>1001</v>
      </c>
      <c r="K174">
        <f t="shared" si="9"/>
        <v>123.5</v>
      </c>
      <c r="L174">
        <f t="shared" si="10"/>
        <v>0.76923076923076927</v>
      </c>
      <c r="M174" t="str" cm="1">
        <f t="array" ref="M174">_xlfn.IFS(G174&lt;50,"Low Stock",G174&lt;100,"Medium Stock",G174&gt;=100,"Healthy Stock")</f>
        <v>Medium Stock</v>
      </c>
      <c r="N174" s="21">
        <f t="shared" si="11"/>
        <v>1001</v>
      </c>
    </row>
    <row r="175" spans="1:14">
      <c r="A175" s="1" t="s">
        <v>164</v>
      </c>
      <c r="B175" s="1" t="s">
        <v>194</v>
      </c>
      <c r="C175" s="1" t="s">
        <v>147</v>
      </c>
      <c r="D175" s="1">
        <v>54</v>
      </c>
      <c r="E175" s="1">
        <v>59</v>
      </c>
      <c r="F175" s="1">
        <v>72</v>
      </c>
      <c r="G175" s="1">
        <v>41</v>
      </c>
      <c r="H175" s="1">
        <v>92</v>
      </c>
      <c r="I175" s="1" t="s">
        <v>36</v>
      </c>
      <c r="J175">
        <f t="shared" si="8"/>
        <v>3772</v>
      </c>
      <c r="K175">
        <f t="shared" si="9"/>
        <v>74.5</v>
      </c>
      <c r="L175">
        <f t="shared" si="10"/>
        <v>0.96644295302013428</v>
      </c>
      <c r="M175" t="str" cm="1">
        <f t="array" ref="M175">_xlfn.IFS(G175&lt;50,"Low Stock",G175&lt;100,"Medium Stock",G175&gt;=100,"Healthy Stock")</f>
        <v>Low Stock</v>
      </c>
      <c r="N175" s="21">
        <f t="shared" si="11"/>
        <v>3772</v>
      </c>
    </row>
    <row r="176" spans="1:14">
      <c r="A176" s="1" t="s">
        <v>169</v>
      </c>
      <c r="B176" s="1" t="s">
        <v>199</v>
      </c>
      <c r="C176" s="1" t="s">
        <v>10</v>
      </c>
      <c r="D176" s="1">
        <v>183</v>
      </c>
      <c r="E176" s="1">
        <v>55</v>
      </c>
      <c r="F176" s="1">
        <v>41</v>
      </c>
      <c r="G176" s="1">
        <v>197</v>
      </c>
      <c r="H176" s="1">
        <v>85</v>
      </c>
      <c r="I176" s="1" t="s">
        <v>35</v>
      </c>
      <c r="J176">
        <f t="shared" si="8"/>
        <v>16745</v>
      </c>
      <c r="K176">
        <f t="shared" si="9"/>
        <v>281.5</v>
      </c>
      <c r="L176">
        <f t="shared" si="10"/>
        <v>0.14564831261101244</v>
      </c>
      <c r="M176" t="str" cm="1">
        <f t="array" ref="M176">_xlfn.IFS(G176&lt;50,"Low Stock",G176&lt;100,"Medium Stock",G176&gt;=100,"Healthy Stock")</f>
        <v>Healthy Stock</v>
      </c>
      <c r="N176" s="21">
        <f t="shared" si="11"/>
        <v>16745</v>
      </c>
    </row>
    <row r="177" spans="1:14">
      <c r="A177" s="1" t="s">
        <v>174</v>
      </c>
      <c r="B177" s="1" t="s">
        <v>204</v>
      </c>
      <c r="C177" s="1" t="s">
        <v>7</v>
      </c>
      <c r="D177" s="1">
        <v>128</v>
      </c>
      <c r="E177" s="1">
        <v>122</v>
      </c>
      <c r="F177" s="1">
        <v>90</v>
      </c>
      <c r="G177" s="1">
        <v>160</v>
      </c>
      <c r="H177" s="1">
        <v>105</v>
      </c>
      <c r="I177" s="1" t="s">
        <v>208</v>
      </c>
      <c r="J177">
        <f t="shared" si="8"/>
        <v>16800</v>
      </c>
      <c r="K177">
        <f t="shared" si="9"/>
        <v>208</v>
      </c>
      <c r="L177">
        <f t="shared" si="10"/>
        <v>0.43269230769230771</v>
      </c>
      <c r="M177" t="str" cm="1">
        <f t="array" ref="M177">_xlfn.IFS(G177&lt;50,"Low Stock",G177&lt;100,"Medium Stock",G177&gt;=100,"Healthy Stock")</f>
        <v>Healthy Stock</v>
      </c>
      <c r="N177" s="21">
        <f t="shared" si="11"/>
        <v>16800</v>
      </c>
    </row>
    <row r="178" spans="1:14">
      <c r="A178" s="1" t="s">
        <v>172</v>
      </c>
      <c r="B178" s="1" t="s">
        <v>202</v>
      </c>
      <c r="C178" s="1" t="s">
        <v>17</v>
      </c>
      <c r="D178" s="1">
        <v>63</v>
      </c>
      <c r="E178" s="1">
        <v>33</v>
      </c>
      <c r="F178" s="1">
        <v>30</v>
      </c>
      <c r="G178" s="1">
        <v>66</v>
      </c>
      <c r="H178" s="1">
        <v>106</v>
      </c>
      <c r="I178" s="1" t="s">
        <v>36</v>
      </c>
      <c r="J178">
        <f t="shared" si="8"/>
        <v>6996</v>
      </c>
      <c r="K178">
        <f t="shared" si="9"/>
        <v>96</v>
      </c>
      <c r="L178">
        <f t="shared" si="10"/>
        <v>0.3125</v>
      </c>
      <c r="M178" t="str" cm="1">
        <f t="array" ref="M178">_xlfn.IFS(G178&lt;50,"Low Stock",G178&lt;100,"Medium Stock",G178&gt;=100,"Healthy Stock")</f>
        <v>Medium Stock</v>
      </c>
      <c r="N178" s="21">
        <f t="shared" si="11"/>
        <v>6996</v>
      </c>
    </row>
    <row r="179" spans="1:14">
      <c r="A179" s="1" t="s">
        <v>5</v>
      </c>
      <c r="B179" s="1" t="s">
        <v>6</v>
      </c>
      <c r="C179" s="1" t="s">
        <v>7</v>
      </c>
      <c r="D179" s="1">
        <v>85</v>
      </c>
      <c r="E179" s="1">
        <v>134</v>
      </c>
      <c r="F179" s="1">
        <v>98</v>
      </c>
      <c r="G179" s="1">
        <v>121</v>
      </c>
      <c r="H179" s="1">
        <v>46</v>
      </c>
      <c r="I179" s="1" t="s">
        <v>208</v>
      </c>
      <c r="J179">
        <f t="shared" si="8"/>
        <v>5566</v>
      </c>
      <c r="K179">
        <f t="shared" si="9"/>
        <v>145.5</v>
      </c>
      <c r="L179">
        <f t="shared" si="10"/>
        <v>0.67353951890034369</v>
      </c>
      <c r="M179" t="str" cm="1">
        <f t="array" ref="M179">_xlfn.IFS(G179&lt;50,"Low Stock",G179&lt;100,"Medium Stock",G179&gt;=100,"Healthy Stock")</f>
        <v>Healthy Stock</v>
      </c>
      <c r="N179" s="21">
        <f t="shared" si="11"/>
        <v>5566</v>
      </c>
    </row>
    <row r="180" spans="1:14">
      <c r="A180" s="1" t="s">
        <v>172</v>
      </c>
      <c r="B180" s="1" t="s">
        <v>202</v>
      </c>
      <c r="C180" s="1" t="s">
        <v>17</v>
      </c>
      <c r="D180" s="1">
        <v>176</v>
      </c>
      <c r="E180" s="1">
        <v>39</v>
      </c>
      <c r="F180" s="1">
        <v>88</v>
      </c>
      <c r="G180" s="1">
        <v>127</v>
      </c>
      <c r="H180" s="1">
        <v>106</v>
      </c>
      <c r="I180" s="1" t="s">
        <v>35</v>
      </c>
      <c r="J180">
        <f t="shared" si="8"/>
        <v>13462</v>
      </c>
      <c r="K180">
        <f t="shared" si="9"/>
        <v>239.5</v>
      </c>
      <c r="L180">
        <f t="shared" si="10"/>
        <v>0.36743215031315241</v>
      </c>
      <c r="M180" t="str" cm="1">
        <f t="array" ref="M180">_xlfn.IFS(G180&lt;50,"Low Stock",G180&lt;100,"Medium Stock",G180&gt;=100,"Healthy Stock")</f>
        <v>Healthy Stock</v>
      </c>
      <c r="N180" s="21">
        <f t="shared" si="11"/>
        <v>13462</v>
      </c>
    </row>
    <row r="181" spans="1:14">
      <c r="A181" s="1" t="s">
        <v>151</v>
      </c>
      <c r="B181" s="1" t="s">
        <v>181</v>
      </c>
      <c r="C181" s="1" t="s">
        <v>7</v>
      </c>
      <c r="D181" s="1">
        <v>58</v>
      </c>
      <c r="E181" s="1">
        <v>86</v>
      </c>
      <c r="F181" s="1">
        <v>175</v>
      </c>
      <c r="G181" s="1">
        <v>-31</v>
      </c>
      <c r="H181" s="1">
        <v>20</v>
      </c>
      <c r="I181" s="1" t="s">
        <v>208</v>
      </c>
      <c r="J181">
        <f t="shared" si="8"/>
        <v>-620</v>
      </c>
      <c r="K181">
        <f t="shared" si="9"/>
        <v>42.5</v>
      </c>
      <c r="L181">
        <f t="shared" si="10"/>
        <v>4.117647058823529</v>
      </c>
      <c r="M181" t="str" cm="1">
        <f t="array" ref="M181">_xlfn.IFS(G181&lt;50,"Low Stock",G181&lt;100,"Medium Stock",G181&gt;=100,"Healthy Stock")</f>
        <v>Low Stock</v>
      </c>
      <c r="N181" s="21">
        <f t="shared" si="11"/>
        <v>-620</v>
      </c>
    </row>
    <row r="182" spans="1:14">
      <c r="A182" s="1" t="s">
        <v>11</v>
      </c>
      <c r="B182" s="1" t="s">
        <v>12</v>
      </c>
      <c r="C182" s="1" t="s">
        <v>147</v>
      </c>
      <c r="D182" s="1">
        <v>162</v>
      </c>
      <c r="E182" s="1">
        <v>141</v>
      </c>
      <c r="F182" s="1">
        <v>147</v>
      </c>
      <c r="G182" s="1">
        <v>156</v>
      </c>
      <c r="H182" s="1">
        <v>66</v>
      </c>
      <c r="I182" s="1" t="s">
        <v>35</v>
      </c>
      <c r="J182">
        <f t="shared" si="8"/>
        <v>10296</v>
      </c>
      <c r="K182">
        <f t="shared" si="9"/>
        <v>240</v>
      </c>
      <c r="L182">
        <f t="shared" si="10"/>
        <v>0.61250000000000004</v>
      </c>
      <c r="M182" t="str" cm="1">
        <f t="array" ref="M182">_xlfn.IFS(G182&lt;50,"Low Stock",G182&lt;100,"Medium Stock",G182&gt;=100,"Healthy Stock")</f>
        <v>Healthy Stock</v>
      </c>
      <c r="N182" s="21">
        <f t="shared" si="11"/>
        <v>10296</v>
      </c>
    </row>
    <row r="183" spans="1:14">
      <c r="A183" s="1" t="s">
        <v>159</v>
      </c>
      <c r="B183" s="1" t="s">
        <v>189</v>
      </c>
      <c r="C183" s="1" t="s">
        <v>146</v>
      </c>
      <c r="D183" s="1">
        <v>73</v>
      </c>
      <c r="E183" s="1">
        <v>122</v>
      </c>
      <c r="F183" s="1">
        <v>157</v>
      </c>
      <c r="G183" s="1">
        <v>38</v>
      </c>
      <c r="H183" s="1">
        <v>61</v>
      </c>
      <c r="I183" s="1" t="s">
        <v>36</v>
      </c>
      <c r="J183">
        <f t="shared" si="8"/>
        <v>2318</v>
      </c>
      <c r="K183">
        <f t="shared" si="9"/>
        <v>92</v>
      </c>
      <c r="L183">
        <f t="shared" si="10"/>
        <v>1.7065217391304348</v>
      </c>
      <c r="M183" t="str" cm="1">
        <f t="array" ref="M183">_xlfn.IFS(G183&lt;50,"Low Stock",G183&lt;100,"Medium Stock",G183&gt;=100,"Healthy Stock")</f>
        <v>Low Stock</v>
      </c>
      <c r="N183" s="21">
        <f t="shared" si="11"/>
        <v>2318</v>
      </c>
    </row>
    <row r="184" spans="1:14">
      <c r="A184" s="1" t="s">
        <v>24</v>
      </c>
      <c r="B184" s="1" t="s">
        <v>25</v>
      </c>
      <c r="C184" s="1" t="s">
        <v>146</v>
      </c>
      <c r="D184" s="1">
        <v>197</v>
      </c>
      <c r="E184" s="1">
        <v>67</v>
      </c>
      <c r="F184" s="1">
        <v>160</v>
      </c>
      <c r="G184" s="1">
        <v>104</v>
      </c>
      <c r="H184" s="1">
        <v>72</v>
      </c>
      <c r="I184" s="1" t="s">
        <v>208</v>
      </c>
      <c r="J184">
        <f t="shared" si="8"/>
        <v>7488</v>
      </c>
      <c r="K184">
        <f t="shared" si="9"/>
        <v>249</v>
      </c>
      <c r="L184">
        <f t="shared" si="10"/>
        <v>0.64257028112449799</v>
      </c>
      <c r="M184" t="str" cm="1">
        <f t="array" ref="M184">_xlfn.IFS(G184&lt;50,"Low Stock",G184&lt;100,"Medium Stock",G184&gt;=100,"Healthy Stock")</f>
        <v>Healthy Stock</v>
      </c>
      <c r="N184" s="21">
        <f t="shared" si="11"/>
        <v>7488</v>
      </c>
    </row>
    <row r="185" spans="1:14">
      <c r="A185" s="1" t="s">
        <v>164</v>
      </c>
      <c r="B185" s="1" t="s">
        <v>194</v>
      </c>
      <c r="C185" s="1" t="s">
        <v>147</v>
      </c>
      <c r="D185" s="1">
        <v>176</v>
      </c>
      <c r="E185" s="1">
        <v>72</v>
      </c>
      <c r="F185" s="1">
        <v>120</v>
      </c>
      <c r="G185" s="1">
        <v>128</v>
      </c>
      <c r="H185" s="1">
        <v>92</v>
      </c>
      <c r="I185" s="1" t="s">
        <v>34</v>
      </c>
      <c r="J185">
        <f t="shared" si="8"/>
        <v>11776</v>
      </c>
      <c r="K185">
        <f t="shared" si="9"/>
        <v>240</v>
      </c>
      <c r="L185">
        <f t="shared" si="10"/>
        <v>0.5</v>
      </c>
      <c r="M185" t="str" cm="1">
        <f t="array" ref="M185">_xlfn.IFS(G185&lt;50,"Low Stock",G185&lt;100,"Medium Stock",G185&gt;=100,"Healthy Stock")</f>
        <v>Healthy Stock</v>
      </c>
      <c r="N185" s="21">
        <f t="shared" si="11"/>
        <v>11776</v>
      </c>
    </row>
    <row r="186" spans="1:14">
      <c r="A186" s="1" t="s">
        <v>160</v>
      </c>
      <c r="B186" s="1" t="s">
        <v>190</v>
      </c>
      <c r="C186" s="1" t="s">
        <v>7</v>
      </c>
      <c r="D186" s="1">
        <v>101</v>
      </c>
      <c r="E186" s="1">
        <v>61</v>
      </c>
      <c r="F186" s="1">
        <v>61</v>
      </c>
      <c r="G186" s="1">
        <v>101</v>
      </c>
      <c r="H186" s="1">
        <v>11</v>
      </c>
      <c r="I186" s="1" t="s">
        <v>208</v>
      </c>
      <c r="J186">
        <f t="shared" si="8"/>
        <v>1111</v>
      </c>
      <c r="K186">
        <f t="shared" si="9"/>
        <v>151.5</v>
      </c>
      <c r="L186">
        <f t="shared" si="10"/>
        <v>0.40264026402640263</v>
      </c>
      <c r="M186" t="str" cm="1">
        <f t="array" ref="M186">_xlfn.IFS(G186&lt;50,"Low Stock",G186&lt;100,"Medium Stock",G186&gt;=100,"Healthy Stock")</f>
        <v>Healthy Stock</v>
      </c>
      <c r="N186" s="21">
        <f t="shared" si="11"/>
        <v>1111</v>
      </c>
    </row>
    <row r="187" spans="1:14">
      <c r="A187" s="1" t="s">
        <v>159</v>
      </c>
      <c r="B187" s="1" t="s">
        <v>189</v>
      </c>
      <c r="C187" s="1" t="s">
        <v>146</v>
      </c>
      <c r="D187" s="1">
        <v>171</v>
      </c>
      <c r="E187" s="1">
        <v>85</v>
      </c>
      <c r="F187" s="1">
        <v>40</v>
      </c>
      <c r="G187" s="1">
        <v>216</v>
      </c>
      <c r="H187" s="1">
        <v>61</v>
      </c>
      <c r="I187" s="1" t="s">
        <v>36</v>
      </c>
      <c r="J187">
        <f t="shared" si="8"/>
        <v>13176</v>
      </c>
      <c r="K187">
        <f t="shared" si="9"/>
        <v>279</v>
      </c>
      <c r="L187">
        <f t="shared" si="10"/>
        <v>0.14336917562724014</v>
      </c>
      <c r="M187" t="str" cm="1">
        <f t="array" ref="M187">_xlfn.IFS(G187&lt;50,"Low Stock",G187&lt;100,"Medium Stock",G187&gt;=100,"Healthy Stock")</f>
        <v>Healthy Stock</v>
      </c>
      <c r="N187" s="21">
        <f t="shared" si="11"/>
        <v>13176</v>
      </c>
    </row>
    <row r="188" spans="1:14">
      <c r="A188" s="1" t="s">
        <v>167</v>
      </c>
      <c r="B188" s="1" t="s">
        <v>197</v>
      </c>
      <c r="C188" s="1" t="s">
        <v>17</v>
      </c>
      <c r="D188" s="1">
        <v>136</v>
      </c>
      <c r="E188" s="1">
        <v>129</v>
      </c>
      <c r="F188" s="1">
        <v>37</v>
      </c>
      <c r="G188" s="1">
        <v>228</v>
      </c>
      <c r="H188" s="1">
        <v>55</v>
      </c>
      <c r="I188" s="1" t="s">
        <v>208</v>
      </c>
      <c r="J188">
        <f t="shared" si="8"/>
        <v>12540</v>
      </c>
      <c r="K188">
        <f t="shared" si="9"/>
        <v>250</v>
      </c>
      <c r="L188">
        <f t="shared" si="10"/>
        <v>0.14799999999999999</v>
      </c>
      <c r="M188" t="str" cm="1">
        <f t="array" ref="M188">_xlfn.IFS(G188&lt;50,"Low Stock",G188&lt;100,"Medium Stock",G188&gt;=100,"Healthy Stock")</f>
        <v>Healthy Stock</v>
      </c>
      <c r="N188" s="21">
        <f t="shared" si="11"/>
        <v>12540</v>
      </c>
    </row>
    <row r="189" spans="1:14">
      <c r="A189" s="1" t="s">
        <v>149</v>
      </c>
      <c r="B189" s="1" t="s">
        <v>179</v>
      </c>
      <c r="C189" s="1" t="s">
        <v>17</v>
      </c>
      <c r="D189" s="1">
        <v>172</v>
      </c>
      <c r="E189" s="1">
        <v>115</v>
      </c>
      <c r="F189" s="1">
        <v>166</v>
      </c>
      <c r="G189" s="1">
        <v>121</v>
      </c>
      <c r="H189" s="1">
        <v>76</v>
      </c>
      <c r="I189" s="1" t="s">
        <v>33</v>
      </c>
      <c r="J189">
        <f t="shared" si="8"/>
        <v>9196</v>
      </c>
      <c r="K189">
        <f t="shared" si="9"/>
        <v>232.5</v>
      </c>
      <c r="L189">
        <f t="shared" si="10"/>
        <v>0.71397849462365592</v>
      </c>
      <c r="M189" t="str" cm="1">
        <f t="array" ref="M189">_xlfn.IFS(G189&lt;50,"Low Stock",G189&lt;100,"Medium Stock",G189&gt;=100,"Healthy Stock")</f>
        <v>Healthy Stock</v>
      </c>
      <c r="N189" s="21">
        <f t="shared" si="11"/>
        <v>9196</v>
      </c>
    </row>
    <row r="190" spans="1:14">
      <c r="A190" s="1" t="s">
        <v>168</v>
      </c>
      <c r="B190" s="1" t="s">
        <v>198</v>
      </c>
      <c r="C190" s="1" t="s">
        <v>17</v>
      </c>
      <c r="D190" s="1">
        <v>87</v>
      </c>
      <c r="E190" s="1">
        <v>136</v>
      </c>
      <c r="F190" s="1">
        <v>96</v>
      </c>
      <c r="G190" s="1">
        <v>127</v>
      </c>
      <c r="H190" s="1">
        <v>72</v>
      </c>
      <c r="I190" s="1" t="s">
        <v>35</v>
      </c>
      <c r="J190">
        <f t="shared" si="8"/>
        <v>9144</v>
      </c>
      <c r="K190">
        <f t="shared" si="9"/>
        <v>150.5</v>
      </c>
      <c r="L190">
        <f t="shared" si="10"/>
        <v>0.63787375415282388</v>
      </c>
      <c r="M190" t="str" cm="1">
        <f t="array" ref="M190">_xlfn.IFS(G190&lt;50,"Low Stock",G190&lt;100,"Medium Stock",G190&gt;=100,"Healthy Stock")</f>
        <v>Healthy Stock</v>
      </c>
      <c r="N190" s="21">
        <f t="shared" si="11"/>
        <v>9144</v>
      </c>
    </row>
    <row r="191" spans="1:14">
      <c r="A191" s="1" t="s">
        <v>154</v>
      </c>
      <c r="B191" s="1" t="s">
        <v>184</v>
      </c>
      <c r="C191" s="1" t="s">
        <v>17</v>
      </c>
      <c r="D191" s="1">
        <v>106</v>
      </c>
      <c r="E191" s="1">
        <v>86</v>
      </c>
      <c r="F191" s="1">
        <v>31</v>
      </c>
      <c r="G191" s="1">
        <v>161</v>
      </c>
      <c r="H191" s="1">
        <v>98</v>
      </c>
      <c r="I191" s="1" t="s">
        <v>34</v>
      </c>
      <c r="J191">
        <f t="shared" si="8"/>
        <v>15778</v>
      </c>
      <c r="K191">
        <f t="shared" si="9"/>
        <v>186.5</v>
      </c>
      <c r="L191">
        <f t="shared" si="10"/>
        <v>0.16621983914209115</v>
      </c>
      <c r="M191" t="str" cm="1">
        <f t="array" ref="M191">_xlfn.IFS(G191&lt;50,"Low Stock",G191&lt;100,"Medium Stock",G191&gt;=100,"Healthy Stock")</f>
        <v>Healthy Stock</v>
      </c>
      <c r="N191" s="21">
        <f t="shared" si="11"/>
        <v>15778</v>
      </c>
    </row>
    <row r="192" spans="1:14">
      <c r="A192" s="1" t="s">
        <v>175</v>
      </c>
      <c r="B192" s="1" t="s">
        <v>205</v>
      </c>
      <c r="C192" s="1" t="s">
        <v>10</v>
      </c>
      <c r="D192" s="1">
        <v>71</v>
      </c>
      <c r="E192" s="1">
        <v>21</v>
      </c>
      <c r="F192" s="1">
        <v>76</v>
      </c>
      <c r="G192" s="1">
        <v>16</v>
      </c>
      <c r="H192" s="1">
        <v>63</v>
      </c>
      <c r="I192" s="1" t="s">
        <v>34</v>
      </c>
      <c r="J192">
        <f t="shared" si="8"/>
        <v>1008</v>
      </c>
      <c r="K192">
        <f t="shared" si="9"/>
        <v>79</v>
      </c>
      <c r="L192">
        <f t="shared" si="10"/>
        <v>0.96202531645569622</v>
      </c>
      <c r="M192" t="str" cm="1">
        <f t="array" ref="M192">_xlfn.IFS(G192&lt;50,"Low Stock",G192&lt;100,"Medium Stock",G192&gt;=100,"Healthy Stock")</f>
        <v>Low Stock</v>
      </c>
      <c r="N192" s="21">
        <f t="shared" si="11"/>
        <v>1008</v>
      </c>
    </row>
    <row r="193" spans="1:14">
      <c r="A193" s="1" t="s">
        <v>171</v>
      </c>
      <c r="B193" s="1" t="s">
        <v>201</v>
      </c>
      <c r="C193" s="1" t="s">
        <v>17</v>
      </c>
      <c r="D193" s="1">
        <v>179</v>
      </c>
      <c r="E193" s="1">
        <v>24</v>
      </c>
      <c r="F193" s="1">
        <v>61</v>
      </c>
      <c r="G193" s="1">
        <v>142</v>
      </c>
      <c r="H193" s="1">
        <v>96</v>
      </c>
      <c r="I193" s="1" t="s">
        <v>36</v>
      </c>
      <c r="J193">
        <f t="shared" si="8"/>
        <v>13632</v>
      </c>
      <c r="K193">
        <f t="shared" si="9"/>
        <v>250</v>
      </c>
      <c r="L193">
        <f t="shared" si="10"/>
        <v>0.24399999999999999</v>
      </c>
      <c r="M193" t="str" cm="1">
        <f t="array" ref="M193">_xlfn.IFS(G193&lt;50,"Low Stock",G193&lt;100,"Medium Stock",G193&gt;=100,"Healthy Stock")</f>
        <v>Healthy Stock</v>
      </c>
      <c r="N193" s="21">
        <f t="shared" si="11"/>
        <v>13632</v>
      </c>
    </row>
    <row r="194" spans="1:14">
      <c r="A194" s="1" t="s">
        <v>18</v>
      </c>
      <c r="B194" s="1" t="s">
        <v>19</v>
      </c>
      <c r="C194" s="1" t="s">
        <v>146</v>
      </c>
      <c r="D194" s="1">
        <v>53</v>
      </c>
      <c r="E194" s="1">
        <v>62</v>
      </c>
      <c r="F194" s="1">
        <v>152</v>
      </c>
      <c r="G194" s="1">
        <v>-37</v>
      </c>
      <c r="H194" s="1">
        <v>42</v>
      </c>
      <c r="I194" s="1" t="s">
        <v>35</v>
      </c>
      <c r="J194">
        <f t="shared" si="8"/>
        <v>-1554</v>
      </c>
      <c r="K194">
        <f t="shared" si="9"/>
        <v>34.5</v>
      </c>
      <c r="L194">
        <f t="shared" si="10"/>
        <v>4.4057971014492754</v>
      </c>
      <c r="M194" t="str" cm="1">
        <f t="array" ref="M194">_xlfn.IFS(G194&lt;50,"Low Stock",G194&lt;100,"Medium Stock",G194&gt;=100,"Healthy Stock")</f>
        <v>Low Stock</v>
      </c>
      <c r="N194" s="21">
        <f t="shared" si="11"/>
        <v>-1554</v>
      </c>
    </row>
    <row r="195" spans="1:14">
      <c r="A195" s="1" t="s">
        <v>150</v>
      </c>
      <c r="B195" s="1" t="s">
        <v>180</v>
      </c>
      <c r="C195" s="1" t="s">
        <v>17</v>
      </c>
      <c r="D195" s="1">
        <v>183</v>
      </c>
      <c r="E195" s="1">
        <v>139</v>
      </c>
      <c r="F195" s="1">
        <v>165</v>
      </c>
      <c r="G195" s="1">
        <v>157</v>
      </c>
      <c r="H195" s="1">
        <v>101</v>
      </c>
      <c r="I195" s="1" t="s">
        <v>208</v>
      </c>
      <c r="J195">
        <f t="shared" ref="J195:J202" si="12">G195*H195</f>
        <v>15857</v>
      </c>
      <c r="K195">
        <f t="shared" ref="K195:K201" si="13">D195+G195/2</f>
        <v>261.5</v>
      </c>
      <c r="L195">
        <f t="shared" ref="L195:L201" si="14">F195/K195</f>
        <v>0.63097514340344163</v>
      </c>
      <c r="M195" t="str" cm="1">
        <f t="array" ref="M195">_xlfn.IFS(G195&lt;50,"Low Stock",G195&lt;100,"Medium Stock",G195&gt;=100,"Healthy Stock")</f>
        <v>Healthy Stock</v>
      </c>
      <c r="N195" s="21">
        <f t="shared" ref="N195:N201" si="15">G195*H195</f>
        <v>15857</v>
      </c>
    </row>
    <row r="196" spans="1:14">
      <c r="A196" s="1" t="s">
        <v>18</v>
      </c>
      <c r="B196" s="1" t="s">
        <v>19</v>
      </c>
      <c r="C196" s="1" t="s">
        <v>146</v>
      </c>
      <c r="D196" s="1">
        <v>155</v>
      </c>
      <c r="E196" s="1">
        <v>39</v>
      </c>
      <c r="F196" s="1">
        <v>52</v>
      </c>
      <c r="G196" s="1">
        <v>142</v>
      </c>
      <c r="H196" s="1">
        <v>42</v>
      </c>
      <c r="I196" s="1" t="s">
        <v>34</v>
      </c>
      <c r="J196">
        <f t="shared" si="12"/>
        <v>5964</v>
      </c>
      <c r="K196">
        <f t="shared" si="13"/>
        <v>226</v>
      </c>
      <c r="L196">
        <f t="shared" si="14"/>
        <v>0.23008849557522124</v>
      </c>
      <c r="M196" t="str" cm="1">
        <f t="array" ref="M196">_xlfn.IFS(G196&lt;50,"Low Stock",G196&lt;100,"Medium Stock",G196&gt;=100,"Healthy Stock")</f>
        <v>Healthy Stock</v>
      </c>
      <c r="N196" s="21">
        <f t="shared" si="15"/>
        <v>5964</v>
      </c>
    </row>
    <row r="197" spans="1:14">
      <c r="A197" s="1" t="s">
        <v>15</v>
      </c>
      <c r="B197" s="1" t="s">
        <v>16</v>
      </c>
      <c r="C197" s="1" t="s">
        <v>10</v>
      </c>
      <c r="D197" s="1">
        <v>178</v>
      </c>
      <c r="E197" s="1">
        <v>70</v>
      </c>
      <c r="F197" s="1">
        <v>63</v>
      </c>
      <c r="G197" s="1">
        <v>185</v>
      </c>
      <c r="H197" s="1">
        <v>40</v>
      </c>
      <c r="I197" s="1" t="s">
        <v>36</v>
      </c>
      <c r="J197">
        <f t="shared" si="12"/>
        <v>7400</v>
      </c>
      <c r="K197">
        <f t="shared" si="13"/>
        <v>270.5</v>
      </c>
      <c r="L197">
        <f t="shared" si="14"/>
        <v>0.23290203327171904</v>
      </c>
      <c r="M197" t="str" cm="1">
        <f t="array" ref="M197">_xlfn.IFS(G197&lt;50,"Low Stock",G197&lt;100,"Medium Stock",G197&gt;=100,"Healthy Stock")</f>
        <v>Healthy Stock</v>
      </c>
      <c r="N197" s="21">
        <f t="shared" si="15"/>
        <v>7400</v>
      </c>
    </row>
    <row r="198" spans="1:14">
      <c r="A198" s="1" t="s">
        <v>11</v>
      </c>
      <c r="B198" s="1" t="s">
        <v>12</v>
      </c>
      <c r="C198" s="1" t="s">
        <v>147</v>
      </c>
      <c r="D198" s="1">
        <v>200</v>
      </c>
      <c r="E198" s="1">
        <v>62</v>
      </c>
      <c r="F198" s="1">
        <v>173</v>
      </c>
      <c r="G198" s="1">
        <v>89</v>
      </c>
      <c r="H198" s="1">
        <v>66</v>
      </c>
      <c r="I198" s="1" t="s">
        <v>35</v>
      </c>
      <c r="J198">
        <f t="shared" si="12"/>
        <v>5874</v>
      </c>
      <c r="K198">
        <f t="shared" si="13"/>
        <v>244.5</v>
      </c>
      <c r="L198">
        <f t="shared" si="14"/>
        <v>0.70756646216768915</v>
      </c>
      <c r="M198" t="str" cm="1">
        <f t="array" ref="M198">_xlfn.IFS(G198&lt;50,"Low Stock",G198&lt;100,"Medium Stock",G198&gt;=100,"Healthy Stock")</f>
        <v>Medium Stock</v>
      </c>
      <c r="N198" s="21">
        <f t="shared" si="15"/>
        <v>5874</v>
      </c>
    </row>
    <row r="199" spans="1:14">
      <c r="A199" s="1" t="s">
        <v>171</v>
      </c>
      <c r="B199" s="1" t="s">
        <v>201</v>
      </c>
      <c r="C199" s="1" t="s">
        <v>17</v>
      </c>
      <c r="D199" s="1">
        <v>164</v>
      </c>
      <c r="E199" s="1">
        <v>20</v>
      </c>
      <c r="F199" s="1">
        <v>85</v>
      </c>
      <c r="G199" s="1">
        <v>99</v>
      </c>
      <c r="H199" s="1">
        <v>96</v>
      </c>
      <c r="I199" s="1" t="s">
        <v>34</v>
      </c>
      <c r="J199">
        <f t="shared" si="12"/>
        <v>9504</v>
      </c>
      <c r="K199">
        <f t="shared" si="13"/>
        <v>213.5</v>
      </c>
      <c r="L199">
        <f t="shared" si="14"/>
        <v>0.39812646370023419</v>
      </c>
      <c r="M199" t="str" cm="1">
        <f t="array" ref="M199">_xlfn.IFS(G199&lt;50,"Low Stock",G199&lt;100,"Medium Stock",G199&gt;=100,"Healthy Stock")</f>
        <v>Medium Stock</v>
      </c>
      <c r="N199" s="21">
        <f t="shared" si="15"/>
        <v>9504</v>
      </c>
    </row>
    <row r="200" spans="1:14">
      <c r="A200" s="1" t="s">
        <v>20</v>
      </c>
      <c r="B200" s="1" t="s">
        <v>21</v>
      </c>
      <c r="C200" s="1" t="s">
        <v>10</v>
      </c>
      <c r="D200" s="1">
        <v>151</v>
      </c>
      <c r="E200" s="1">
        <v>23</v>
      </c>
      <c r="F200" s="1">
        <v>113</v>
      </c>
      <c r="G200" s="1">
        <v>61</v>
      </c>
      <c r="H200" s="1">
        <v>75</v>
      </c>
      <c r="I200" s="1" t="s">
        <v>36</v>
      </c>
      <c r="J200">
        <f t="shared" si="12"/>
        <v>4575</v>
      </c>
      <c r="K200">
        <f t="shared" si="13"/>
        <v>181.5</v>
      </c>
      <c r="L200">
        <f t="shared" si="14"/>
        <v>0.62258953168044073</v>
      </c>
      <c r="M200" t="str" cm="1">
        <f t="array" ref="M200">_xlfn.IFS(G200&lt;50,"Low Stock",G200&lt;100,"Medium Stock",G200&gt;=100,"Healthy Stock")</f>
        <v>Medium Stock</v>
      </c>
      <c r="N200" s="21">
        <f t="shared" si="15"/>
        <v>4575</v>
      </c>
    </row>
    <row r="201" spans="1:14">
      <c r="A201" s="1" t="s">
        <v>162</v>
      </c>
      <c r="B201" s="1" t="s">
        <v>192</v>
      </c>
      <c r="C201" s="1" t="s">
        <v>146</v>
      </c>
      <c r="D201" s="1">
        <v>96</v>
      </c>
      <c r="E201" s="1">
        <v>20</v>
      </c>
      <c r="F201" s="1">
        <v>82</v>
      </c>
      <c r="G201" s="1">
        <v>34</v>
      </c>
      <c r="H201" s="1">
        <v>113</v>
      </c>
      <c r="I201" s="1" t="s">
        <v>36</v>
      </c>
      <c r="J201">
        <f t="shared" si="12"/>
        <v>3842</v>
      </c>
      <c r="K201">
        <f t="shared" si="13"/>
        <v>113</v>
      </c>
      <c r="L201">
        <f t="shared" si="14"/>
        <v>0.72566371681415931</v>
      </c>
      <c r="M201" t="str" cm="1">
        <f t="array" ref="M201">_xlfn.IFS(G201&lt;50,"Low Stock",G201&lt;100,"Medium Stock",G201&gt;=100,"Healthy Stock")</f>
        <v>Low Stock</v>
      </c>
      <c r="N201" s="21">
        <f t="shared" si="15"/>
        <v>3842</v>
      </c>
    </row>
    <row r="202" spans="1:14">
      <c r="J202">
        <f t="shared" si="12"/>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68EA-5BA7-4E00-914E-8715331AE7E6}">
  <dimension ref="A1:C10"/>
  <sheetViews>
    <sheetView tabSelected="1" zoomScale="49" zoomScaleNormal="181" workbookViewId="0">
      <selection activeCell="O55" sqref="O55"/>
    </sheetView>
  </sheetViews>
  <sheetFormatPr defaultRowHeight="14.4"/>
  <cols>
    <col min="1" max="2" width="15.5546875" style="6" bestFit="1" customWidth="1"/>
    <col min="3" max="16384" width="8.88671875" style="6"/>
  </cols>
  <sheetData>
    <row r="1" spans="1:3" ht="16.8">
      <c r="A1" s="7">
        <f>SUM(Sales_Data!J:J)</f>
        <v>448372.15000000008</v>
      </c>
      <c r="B1" s="7">
        <f>SUM(Sales_Data!M:M)</f>
        <v>207956</v>
      </c>
      <c r="C1" s="8"/>
    </row>
    <row r="10" spans="1:3">
      <c r="B10"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827D-DFC8-44AA-8235-2C999828AA17}">
  <dimension ref="A1:AFW531"/>
  <sheetViews>
    <sheetView topLeftCell="M2" zoomScale="85" workbookViewId="0">
      <selection activeCell="V5" sqref="V5"/>
    </sheetView>
  </sheetViews>
  <sheetFormatPr defaultRowHeight="14.4"/>
  <cols>
    <col min="1" max="1" width="8.44140625" style="1" bestFit="1" customWidth="1"/>
    <col min="2" max="2" width="10.5546875" style="1" bestFit="1" customWidth="1"/>
    <col min="3" max="3" width="14.88671875" style="1" bestFit="1" customWidth="1"/>
    <col min="4" max="4" width="10.109375" style="1" bestFit="1" customWidth="1"/>
    <col min="5" max="5" width="23.6640625" style="1" bestFit="1" customWidth="1"/>
    <col min="6" max="6" width="8.33203125" style="1" bestFit="1" customWidth="1"/>
    <col min="7" max="7" width="12.44140625" style="1" bestFit="1" customWidth="1"/>
    <col min="8" max="8" width="11.109375" style="1" bestFit="1" customWidth="1"/>
    <col min="9" max="9" width="8.109375" style="1" bestFit="1" customWidth="1"/>
    <col min="10" max="10" width="10.33203125" style="1" bestFit="1" customWidth="1"/>
    <col min="11" max="11" width="9.21875" style="1" bestFit="1" customWidth="1"/>
    <col min="12" max="12" width="8.88671875" style="1"/>
    <col min="13" max="13" width="10.33203125" style="1" bestFit="1" customWidth="1"/>
    <col min="14" max="14" width="8.88671875" style="1"/>
    <col min="15" max="15" width="12.5546875" style="1" bestFit="1" customWidth="1"/>
    <col min="16" max="16" width="12.21875" style="1" bestFit="1" customWidth="1"/>
    <col min="17" max="17" width="12.109375" style="1" bestFit="1" customWidth="1"/>
    <col min="18" max="18" width="13.44140625" style="1" bestFit="1" customWidth="1"/>
    <col min="19" max="19" width="10.33203125" style="1" bestFit="1" customWidth="1"/>
    <col min="20" max="20" width="12.21875" style="1" bestFit="1" customWidth="1"/>
    <col min="21" max="21" width="19.44140625" style="1" bestFit="1" customWidth="1"/>
    <col min="22" max="22" width="13.44140625" style="1" bestFit="1" customWidth="1"/>
    <col min="23" max="23" width="10.33203125" style="1" bestFit="1" customWidth="1"/>
    <col min="24" max="24" width="12.44140625" style="1" bestFit="1" customWidth="1"/>
    <col min="25" max="25" width="12.77734375" style="1" bestFit="1" customWidth="1"/>
    <col min="26" max="26" width="17.33203125" style="1" bestFit="1" customWidth="1"/>
    <col min="27" max="27" width="24" style="1" bestFit="1" customWidth="1"/>
    <col min="28" max="28" width="9.21875" style="1" bestFit="1" customWidth="1"/>
    <col min="29" max="29" width="10.77734375" style="1" bestFit="1" customWidth="1"/>
    <col min="30" max="30" width="17.33203125" style="1" bestFit="1" customWidth="1"/>
    <col min="31" max="31" width="11.44140625" style="1" bestFit="1" customWidth="1"/>
    <col min="32" max="32" width="10.33203125" style="1" bestFit="1" customWidth="1"/>
    <col min="33" max="33" width="12.44140625" style="1" bestFit="1" customWidth="1"/>
    <col min="34" max="34" width="11.88671875" style="1" bestFit="1" customWidth="1"/>
    <col min="35" max="35" width="18.5546875" style="1" bestFit="1" customWidth="1"/>
    <col min="36" max="36" width="9.33203125" style="1" bestFit="1" customWidth="1"/>
    <col min="37" max="37" width="7" style="1" bestFit="1" customWidth="1"/>
    <col min="38" max="38" width="7.77734375" style="1" bestFit="1" customWidth="1"/>
    <col min="39" max="39" width="7" style="1" bestFit="1" customWidth="1"/>
    <col min="40" max="40" width="7.77734375" style="1" bestFit="1" customWidth="1"/>
    <col min="41" max="41" width="9.44140625" style="1" bestFit="1" customWidth="1"/>
    <col min="42" max="42" width="11.44140625" style="1" bestFit="1" customWidth="1"/>
    <col min="43" max="43" width="8.33203125" style="1" bestFit="1" customWidth="1"/>
    <col min="44" max="44" width="10.33203125" style="1" bestFit="1" customWidth="1"/>
    <col min="45" max="45" width="9.44140625" style="1" bestFit="1" customWidth="1"/>
    <col min="46" max="46" width="11.44140625" style="1" bestFit="1" customWidth="1"/>
    <col min="47" max="47" width="8.33203125" style="1" bestFit="1" customWidth="1"/>
    <col min="48" max="48" width="10.33203125" style="1" bestFit="1" customWidth="1"/>
    <col min="49" max="49" width="9.44140625" style="1" bestFit="1" customWidth="1"/>
    <col min="50" max="50" width="11.44140625" style="1" bestFit="1" customWidth="1"/>
    <col min="51" max="51" width="8.33203125" style="1" bestFit="1" customWidth="1"/>
    <col min="52" max="52" width="10.33203125" style="1" bestFit="1" customWidth="1"/>
    <col min="53" max="53" width="9.44140625" style="1" bestFit="1" customWidth="1"/>
    <col min="54" max="54" width="11.44140625" style="1" bestFit="1" customWidth="1"/>
    <col min="55" max="55" width="8.33203125" style="1" bestFit="1" customWidth="1"/>
    <col min="56" max="56" width="10.33203125" style="1" bestFit="1" customWidth="1"/>
    <col min="57" max="57" width="9.44140625" style="1" bestFit="1" customWidth="1"/>
    <col min="58" max="58" width="11.44140625" style="1" bestFit="1" customWidth="1"/>
    <col min="59" max="59" width="8.33203125" style="1" bestFit="1" customWidth="1"/>
    <col min="60" max="60" width="10.33203125" style="1" bestFit="1" customWidth="1"/>
    <col min="61" max="61" width="8.33203125" style="1" bestFit="1" customWidth="1"/>
    <col min="62" max="62" width="10.33203125" style="1" bestFit="1" customWidth="1"/>
    <col min="63" max="63" width="8.33203125" style="1" bestFit="1" customWidth="1"/>
    <col min="64" max="64" width="10.33203125" style="1" bestFit="1" customWidth="1"/>
    <col min="65" max="65" width="8.33203125" style="1" bestFit="1" customWidth="1"/>
    <col min="66" max="66" width="10.33203125" style="1" bestFit="1" customWidth="1"/>
    <col min="67" max="67" width="8.33203125" style="1" bestFit="1" customWidth="1"/>
    <col min="68" max="68" width="10.33203125" style="1" bestFit="1" customWidth="1"/>
    <col min="69" max="69" width="9.44140625" style="1" bestFit="1" customWidth="1"/>
    <col min="70" max="70" width="11.44140625" style="1" bestFit="1" customWidth="1"/>
    <col min="71" max="71" width="8.33203125" style="1" bestFit="1" customWidth="1"/>
    <col min="72" max="72" width="10.33203125" style="1" bestFit="1" customWidth="1"/>
    <col min="73" max="73" width="8.33203125" style="1" bestFit="1" customWidth="1"/>
    <col min="74" max="74" width="10.33203125" style="1" bestFit="1" customWidth="1"/>
    <col min="75" max="75" width="9.44140625" style="1" bestFit="1" customWidth="1"/>
    <col min="76" max="76" width="11.44140625" style="1" bestFit="1" customWidth="1"/>
    <col min="77" max="77" width="8.33203125" style="1" bestFit="1" customWidth="1"/>
    <col min="78" max="78" width="10.33203125" style="1" bestFit="1" customWidth="1"/>
    <col min="79" max="79" width="7" style="1" bestFit="1" customWidth="1"/>
    <col min="80" max="80" width="8.77734375" style="1" bestFit="1" customWidth="1"/>
    <col min="81" max="81" width="8.33203125" style="1" bestFit="1" customWidth="1"/>
    <col min="82" max="82" width="10.33203125" style="1" bestFit="1" customWidth="1"/>
    <col min="83" max="83" width="7" style="1" bestFit="1" customWidth="1"/>
    <col min="84" max="84" width="8.77734375" style="1" bestFit="1" customWidth="1"/>
    <col min="85" max="85" width="7" style="1" bestFit="1" customWidth="1"/>
    <col min="86" max="86" width="8.77734375" style="1" bestFit="1" customWidth="1"/>
    <col min="87" max="87" width="8.33203125" style="1" bestFit="1" customWidth="1"/>
    <col min="88" max="88" width="10.33203125" style="1" bestFit="1" customWidth="1"/>
    <col min="89" max="89" width="9.44140625" style="1" bestFit="1" customWidth="1"/>
    <col min="90" max="90" width="11.44140625" style="1" bestFit="1" customWidth="1"/>
    <col min="91" max="91" width="8.33203125" style="1" bestFit="1" customWidth="1"/>
    <col min="92" max="92" width="10.33203125" style="1" bestFit="1" customWidth="1"/>
    <col min="93" max="93" width="9.44140625" style="1" bestFit="1" customWidth="1"/>
    <col min="94" max="94" width="11.44140625" style="1" bestFit="1" customWidth="1"/>
    <col min="95" max="95" width="8.33203125" style="1" bestFit="1" customWidth="1"/>
    <col min="96" max="96" width="10.33203125" style="1" bestFit="1" customWidth="1"/>
    <col min="97" max="97" width="7" style="1" bestFit="1" customWidth="1"/>
    <col min="98" max="98" width="8" style="1" bestFit="1" customWidth="1"/>
    <col min="99" max="99" width="8.77734375" style="1" bestFit="1" customWidth="1"/>
    <col min="100" max="100" width="9.44140625" style="1" bestFit="1" customWidth="1"/>
    <col min="101" max="101" width="11.44140625" style="1" bestFit="1" customWidth="1"/>
    <col min="102" max="102" width="8.33203125" style="1" bestFit="1" customWidth="1"/>
    <col min="103" max="103" width="10.33203125" style="1" bestFit="1" customWidth="1"/>
    <col min="104" max="104" width="8.33203125" style="1" bestFit="1" customWidth="1"/>
    <col min="105" max="105" width="10.33203125" style="1" bestFit="1" customWidth="1"/>
    <col min="106" max="106" width="8" style="1" bestFit="1" customWidth="1"/>
    <col min="107" max="107" width="8.77734375" style="1" bestFit="1" customWidth="1"/>
    <col min="108" max="108" width="8.33203125" style="1" bestFit="1" customWidth="1"/>
    <col min="109" max="109" width="10.33203125" style="1" bestFit="1" customWidth="1"/>
    <col min="110" max="110" width="8" style="1" bestFit="1" customWidth="1"/>
    <col min="111" max="111" width="8.77734375" style="1" bestFit="1" customWidth="1"/>
    <col min="112" max="112" width="7" style="1" bestFit="1" customWidth="1"/>
    <col min="113" max="113" width="8.77734375" style="1" bestFit="1" customWidth="1"/>
    <col min="114" max="114" width="8.33203125" style="1" bestFit="1" customWidth="1"/>
    <col min="115" max="115" width="10.33203125" style="1" bestFit="1" customWidth="1"/>
    <col min="116" max="116" width="8.33203125" style="1" bestFit="1" customWidth="1"/>
    <col min="117" max="117" width="10.33203125" style="1" bestFit="1" customWidth="1"/>
    <col min="118" max="118" width="8.33203125" style="1" bestFit="1" customWidth="1"/>
    <col min="119" max="119" width="10.33203125" style="1" bestFit="1" customWidth="1"/>
    <col min="120" max="120" width="8.33203125" style="1" bestFit="1" customWidth="1"/>
    <col min="121" max="121" width="10.33203125" style="1" bestFit="1" customWidth="1"/>
    <col min="122" max="122" width="9.44140625" style="1" bestFit="1" customWidth="1"/>
    <col min="123" max="123" width="11.44140625" style="1" bestFit="1" customWidth="1"/>
    <col min="124" max="124" width="8.33203125" style="1" bestFit="1" customWidth="1"/>
    <col min="125" max="125" width="10.33203125" style="1" bestFit="1" customWidth="1"/>
    <col min="126" max="126" width="8.33203125" style="1" bestFit="1" customWidth="1"/>
    <col min="127" max="127" width="8" style="1" bestFit="1" customWidth="1"/>
    <col min="128" max="128" width="10.33203125" style="1" bestFit="1" customWidth="1"/>
    <col min="129" max="130" width="7" style="1" bestFit="1" customWidth="1"/>
    <col min="131" max="131" width="8.77734375" style="1" bestFit="1" customWidth="1"/>
    <col min="132" max="132" width="8.33203125" style="1" bestFit="1" customWidth="1"/>
    <col min="133" max="133" width="10.33203125" style="1" bestFit="1" customWidth="1"/>
    <col min="134" max="134" width="9.44140625" style="1" bestFit="1" customWidth="1"/>
    <col min="135" max="135" width="11.44140625" style="1" bestFit="1" customWidth="1"/>
    <col min="136" max="136" width="8.33203125" style="1" bestFit="1" customWidth="1"/>
    <col min="137" max="137" width="10.33203125" style="1" bestFit="1" customWidth="1"/>
    <col min="138" max="138" width="8.33203125" style="1" bestFit="1" customWidth="1"/>
    <col min="139" max="139" width="10.33203125" style="1" bestFit="1" customWidth="1"/>
    <col min="140" max="140" width="9.44140625" style="1" bestFit="1" customWidth="1"/>
    <col min="141" max="141" width="11.44140625" style="1" bestFit="1" customWidth="1"/>
    <col min="142" max="142" width="8.33203125" style="1" bestFit="1" customWidth="1"/>
    <col min="143" max="143" width="10.33203125" style="1" bestFit="1" customWidth="1"/>
    <col min="144" max="145" width="7" style="1" bestFit="1" customWidth="1"/>
    <col min="146" max="146" width="8.77734375" style="1" bestFit="1" customWidth="1"/>
    <col min="147" max="147" width="8.33203125" style="1" bestFit="1" customWidth="1"/>
    <col min="148" max="148" width="10.33203125" style="1" bestFit="1" customWidth="1"/>
    <col min="149" max="149" width="8.33203125" style="1" bestFit="1" customWidth="1"/>
    <col min="150" max="150" width="10.33203125" style="1" bestFit="1" customWidth="1"/>
    <col min="151" max="151" width="8" style="1" bestFit="1" customWidth="1"/>
    <col min="152" max="152" width="8.77734375" style="1" bestFit="1" customWidth="1"/>
    <col min="153" max="153" width="8.33203125" style="1" bestFit="1" customWidth="1"/>
    <col min="154" max="154" width="10.33203125" style="1" bestFit="1" customWidth="1"/>
    <col min="155" max="155" width="8.33203125" style="1" bestFit="1" customWidth="1"/>
    <col min="156" max="156" width="10.33203125" style="1" bestFit="1" customWidth="1"/>
    <col min="157" max="157" width="8" style="1" bestFit="1" customWidth="1"/>
    <col min="158" max="158" width="8.77734375" style="1" bestFit="1" customWidth="1"/>
    <col min="159" max="159" width="8.33203125" style="1" bestFit="1" customWidth="1"/>
    <col min="160" max="160" width="10.33203125" style="1" bestFit="1" customWidth="1"/>
    <col min="161" max="161" width="9.44140625" style="1" bestFit="1" customWidth="1"/>
    <col min="162" max="162" width="11.44140625" style="1" bestFit="1" customWidth="1"/>
    <col min="163" max="163" width="9.44140625" style="1" bestFit="1" customWidth="1"/>
    <col min="164" max="164" width="11.44140625" style="1" bestFit="1" customWidth="1"/>
    <col min="165" max="165" width="8.33203125" style="1" bestFit="1" customWidth="1"/>
    <col min="166" max="166" width="10.33203125" style="1" bestFit="1" customWidth="1"/>
    <col min="167" max="167" width="7" style="1" bestFit="1" customWidth="1"/>
    <col min="168" max="168" width="8" style="1" bestFit="1" customWidth="1"/>
    <col min="169" max="169" width="8.77734375" style="1" bestFit="1" customWidth="1"/>
    <col min="170" max="170" width="9.44140625" style="1" bestFit="1" customWidth="1"/>
    <col min="171" max="171" width="11.44140625" style="1" bestFit="1" customWidth="1"/>
    <col min="172" max="172" width="8.33203125" style="1" bestFit="1" customWidth="1"/>
    <col min="173" max="173" width="10.33203125" style="1" bestFit="1" customWidth="1"/>
    <col min="174" max="174" width="8.33203125" style="1" bestFit="1" customWidth="1"/>
    <col min="175" max="175" width="10.33203125" style="1" bestFit="1" customWidth="1"/>
    <col min="176" max="176" width="7" style="1" bestFit="1" customWidth="1"/>
    <col min="177" max="177" width="8.77734375" style="1" bestFit="1" customWidth="1"/>
    <col min="178" max="178" width="8.33203125" style="1" bestFit="1" customWidth="1"/>
    <col min="179" max="179" width="10.33203125" style="1" bestFit="1" customWidth="1"/>
    <col min="180" max="180" width="9.44140625" style="1" bestFit="1" customWidth="1"/>
    <col min="181" max="181" width="11.44140625" style="1" bestFit="1" customWidth="1"/>
    <col min="182" max="182" width="9.44140625" style="1" bestFit="1" customWidth="1"/>
    <col min="183" max="183" width="11.44140625" style="1" bestFit="1" customWidth="1"/>
    <col min="184" max="184" width="8" style="1" bestFit="1" customWidth="1"/>
    <col min="185" max="185" width="8.77734375" style="1" bestFit="1" customWidth="1"/>
    <col min="186" max="186" width="8.33203125" style="1" bestFit="1" customWidth="1"/>
    <col min="187" max="187" width="10.33203125" style="1" bestFit="1" customWidth="1"/>
    <col min="188" max="188" width="8" style="1" bestFit="1" customWidth="1"/>
    <col min="189" max="189" width="8.77734375" style="1" bestFit="1" customWidth="1"/>
    <col min="190" max="190" width="8.33203125" style="1" bestFit="1" customWidth="1"/>
    <col min="191" max="191" width="10.33203125" style="1" bestFit="1" customWidth="1"/>
    <col min="192" max="192" width="8.33203125" style="1" bestFit="1" customWidth="1"/>
    <col min="193" max="193" width="10.33203125" style="1" bestFit="1" customWidth="1"/>
    <col min="194" max="194" width="8.33203125" style="1" bestFit="1" customWidth="1"/>
    <col min="195" max="195" width="10.33203125" style="1" bestFit="1" customWidth="1"/>
    <col min="196" max="196" width="8" style="1" bestFit="1" customWidth="1"/>
    <col min="197" max="197" width="8.77734375" style="1" bestFit="1" customWidth="1"/>
    <col min="198" max="198" width="7" style="1" bestFit="1" customWidth="1"/>
    <col min="199" max="199" width="8.77734375" style="1" bestFit="1" customWidth="1"/>
    <col min="200" max="200" width="9.44140625" style="1" bestFit="1" customWidth="1"/>
    <col min="201" max="201" width="11.44140625" style="1" bestFit="1" customWidth="1"/>
    <col min="202" max="202" width="8.33203125" style="1" bestFit="1" customWidth="1"/>
    <col min="203" max="203" width="10.33203125" style="1" bestFit="1" customWidth="1"/>
    <col min="204" max="204" width="8.33203125" style="1" bestFit="1" customWidth="1"/>
    <col min="205" max="205" width="10.33203125" style="1" bestFit="1" customWidth="1"/>
    <col min="206" max="206" width="9.44140625" style="1" bestFit="1" customWidth="1"/>
    <col min="207" max="207" width="11.44140625" style="1" bestFit="1" customWidth="1"/>
    <col min="208" max="208" width="8.33203125" style="1" bestFit="1" customWidth="1"/>
    <col min="209" max="209" width="10.33203125" style="1" bestFit="1" customWidth="1"/>
    <col min="210" max="210" width="9.44140625" style="1" bestFit="1" customWidth="1"/>
    <col min="211" max="211" width="11.44140625" style="1" bestFit="1" customWidth="1"/>
    <col min="212" max="212" width="9.44140625" style="1" bestFit="1" customWidth="1"/>
    <col min="213" max="213" width="11.44140625" style="1" bestFit="1" customWidth="1"/>
    <col min="214" max="214" width="7" style="1" bestFit="1" customWidth="1"/>
    <col min="215" max="215" width="8.77734375" style="1" bestFit="1" customWidth="1"/>
    <col min="216" max="216" width="8.33203125" style="1" bestFit="1" customWidth="1"/>
    <col min="217" max="217" width="10.33203125" style="1" bestFit="1" customWidth="1"/>
    <col min="218" max="218" width="9.44140625" style="1" bestFit="1" customWidth="1"/>
    <col min="219" max="219" width="11.44140625" style="1" bestFit="1" customWidth="1"/>
    <col min="220" max="220" width="9.44140625" style="1" bestFit="1" customWidth="1"/>
    <col min="221" max="221" width="11.44140625" style="1" bestFit="1" customWidth="1"/>
    <col min="222" max="222" width="8.33203125" style="1" bestFit="1" customWidth="1"/>
    <col min="223" max="223" width="10.33203125" style="1" bestFit="1" customWidth="1"/>
    <col min="224" max="224" width="8.33203125" style="1" bestFit="1" customWidth="1"/>
    <col min="225" max="225" width="10.33203125" style="1" bestFit="1" customWidth="1"/>
    <col min="226" max="226" width="8.33203125" style="1" bestFit="1" customWidth="1"/>
    <col min="227" max="227" width="10.33203125" style="1" bestFit="1" customWidth="1"/>
    <col min="228" max="228" width="9.44140625" style="1" bestFit="1" customWidth="1"/>
    <col min="229" max="229" width="11.44140625" style="1" bestFit="1" customWidth="1"/>
    <col min="230" max="230" width="8.33203125" style="1" bestFit="1" customWidth="1"/>
    <col min="231" max="231" width="10.33203125" style="1" bestFit="1" customWidth="1"/>
    <col min="232" max="232" width="9.44140625" style="1" bestFit="1" customWidth="1"/>
    <col min="233" max="233" width="11.44140625" style="1" bestFit="1" customWidth="1"/>
    <col min="234" max="234" width="8" style="1" bestFit="1" customWidth="1"/>
    <col min="235" max="235" width="8.77734375" style="1" bestFit="1" customWidth="1"/>
    <col min="236" max="236" width="8.33203125" style="1" bestFit="1" customWidth="1"/>
    <col min="237" max="237" width="10.33203125" style="1" bestFit="1" customWidth="1"/>
    <col min="238" max="238" width="8.33203125" style="1" bestFit="1" customWidth="1"/>
    <col min="239" max="239" width="10.33203125" style="1" bestFit="1" customWidth="1"/>
    <col min="240" max="240" width="9.44140625" style="1" bestFit="1" customWidth="1"/>
    <col min="241" max="241" width="11.44140625" style="1" bestFit="1" customWidth="1"/>
    <col min="242" max="242" width="8" style="1" bestFit="1" customWidth="1"/>
    <col min="243" max="243" width="8.77734375" style="1" bestFit="1" customWidth="1"/>
    <col min="244" max="244" width="9.44140625" style="1" bestFit="1" customWidth="1"/>
    <col min="245" max="245" width="11.44140625" style="1" bestFit="1" customWidth="1"/>
    <col min="246" max="246" width="8" style="1" bestFit="1" customWidth="1"/>
    <col min="247" max="247" width="8.77734375" style="1" bestFit="1" customWidth="1"/>
    <col min="248" max="248" width="8.33203125" style="1" bestFit="1" customWidth="1"/>
    <col min="249" max="249" width="10.33203125" style="1" bestFit="1" customWidth="1"/>
    <col min="250" max="250" width="8" style="1" bestFit="1" customWidth="1"/>
    <col min="251" max="251" width="8.77734375" style="1" bestFit="1" customWidth="1"/>
    <col min="252" max="252" width="8" style="1" bestFit="1" customWidth="1"/>
    <col min="253" max="253" width="8.77734375" style="1" bestFit="1" customWidth="1"/>
    <col min="254" max="257" width="8" style="1" bestFit="1" customWidth="1"/>
    <col min="258" max="258" width="8.77734375" style="1" bestFit="1" customWidth="1"/>
    <col min="259" max="260" width="8" style="1" bestFit="1" customWidth="1"/>
    <col min="261" max="261" width="8.77734375" style="1" bestFit="1" customWidth="1"/>
    <col min="262" max="264" width="8" style="1" bestFit="1" customWidth="1"/>
    <col min="265" max="265" width="8.77734375" style="1" bestFit="1" customWidth="1"/>
    <col min="266" max="266" width="8" style="1" bestFit="1" customWidth="1"/>
    <col min="267" max="267" width="8.77734375" style="1" bestFit="1" customWidth="1"/>
    <col min="268" max="268" width="8" style="1" bestFit="1" customWidth="1"/>
    <col min="269" max="269" width="8.77734375" style="1" bestFit="1" customWidth="1"/>
    <col min="270" max="270" width="8" style="1" bestFit="1" customWidth="1"/>
    <col min="271" max="271" width="8.77734375" style="1" bestFit="1" customWidth="1"/>
    <col min="272" max="272" width="8.33203125" style="1" bestFit="1" customWidth="1"/>
    <col min="273" max="273" width="10.33203125" style="1" bestFit="1" customWidth="1"/>
    <col min="274" max="274" width="8.33203125" style="1" bestFit="1" customWidth="1"/>
    <col min="275" max="275" width="10.33203125" style="1" bestFit="1" customWidth="1"/>
    <col min="276" max="276" width="8.33203125" style="1" bestFit="1" customWidth="1"/>
    <col min="277" max="277" width="10.33203125" style="1" bestFit="1" customWidth="1"/>
    <col min="278" max="278" width="8" style="1" bestFit="1" customWidth="1"/>
    <col min="279" max="279" width="8.77734375" style="1" bestFit="1" customWidth="1"/>
    <col min="280" max="280" width="8.33203125" style="1" bestFit="1" customWidth="1"/>
    <col min="281" max="281" width="10.33203125" style="1" bestFit="1" customWidth="1"/>
    <col min="282" max="282" width="8" style="1" bestFit="1" customWidth="1"/>
    <col min="283" max="283" width="8.77734375" style="1" bestFit="1" customWidth="1"/>
    <col min="284" max="284" width="9.44140625" style="1" bestFit="1" customWidth="1"/>
    <col min="285" max="285" width="11.44140625" style="1" bestFit="1" customWidth="1"/>
    <col min="286" max="286" width="8.33203125" style="1" bestFit="1" customWidth="1"/>
    <col min="287" max="287" width="10.33203125" style="1" bestFit="1" customWidth="1"/>
    <col min="288" max="288" width="8.33203125" style="1" bestFit="1" customWidth="1"/>
    <col min="289" max="289" width="10.33203125" style="1" bestFit="1" customWidth="1"/>
    <col min="290" max="290" width="8" style="1" bestFit="1" customWidth="1"/>
    <col min="291" max="291" width="8.77734375" style="1" bestFit="1" customWidth="1"/>
    <col min="292" max="292" width="8" style="1" bestFit="1" customWidth="1"/>
    <col min="293" max="293" width="8.77734375" style="1" bestFit="1" customWidth="1"/>
    <col min="294" max="294" width="8.33203125" style="1" bestFit="1" customWidth="1"/>
    <col min="295" max="295" width="10.33203125" style="1" bestFit="1" customWidth="1"/>
    <col min="296" max="296" width="8" style="1" bestFit="1" customWidth="1"/>
    <col min="297" max="297" width="8.77734375" style="1" bestFit="1" customWidth="1"/>
    <col min="298" max="298" width="8.33203125" style="1" bestFit="1" customWidth="1"/>
    <col min="299" max="299" width="10.33203125" style="1" bestFit="1" customWidth="1"/>
    <col min="300" max="302" width="8" style="1" bestFit="1" customWidth="1"/>
    <col min="303" max="303" width="8.77734375" style="1" bestFit="1" customWidth="1"/>
    <col min="304" max="304" width="8.33203125" style="1" bestFit="1" customWidth="1"/>
    <col min="305" max="305" width="10.33203125" style="1" bestFit="1" customWidth="1"/>
    <col min="306" max="306" width="8.33203125" style="1" bestFit="1" customWidth="1"/>
    <col min="307" max="307" width="10.33203125" style="1" bestFit="1" customWidth="1"/>
    <col min="308" max="308" width="8.33203125" style="1" bestFit="1" customWidth="1"/>
    <col min="309" max="309" width="10.33203125" style="1" bestFit="1" customWidth="1"/>
    <col min="310" max="310" width="8" style="1" bestFit="1" customWidth="1"/>
    <col min="311" max="311" width="8.77734375" style="1" bestFit="1" customWidth="1"/>
    <col min="312" max="312" width="8.33203125" style="1" bestFit="1" customWidth="1"/>
    <col min="313" max="313" width="10.33203125" style="1" bestFit="1" customWidth="1"/>
    <col min="314" max="314" width="8.33203125" style="1" bestFit="1" customWidth="1"/>
    <col min="315" max="315" width="10.33203125" style="1" bestFit="1" customWidth="1"/>
    <col min="316" max="316" width="9.44140625" style="1" bestFit="1" customWidth="1"/>
    <col min="317" max="317" width="11.44140625" style="1" bestFit="1" customWidth="1"/>
    <col min="318" max="318" width="9.44140625" style="1" bestFit="1" customWidth="1"/>
    <col min="319" max="319" width="11.44140625" style="1" bestFit="1" customWidth="1"/>
    <col min="320" max="320" width="8.33203125" style="1" bestFit="1" customWidth="1"/>
    <col min="321" max="321" width="10.33203125" style="1" bestFit="1" customWidth="1"/>
    <col min="322" max="322" width="8" style="1" bestFit="1" customWidth="1"/>
    <col min="323" max="323" width="8.77734375" style="1" bestFit="1" customWidth="1"/>
    <col min="324" max="324" width="8" style="1" bestFit="1" customWidth="1"/>
    <col min="325" max="325" width="8.77734375" style="1" bestFit="1" customWidth="1"/>
    <col min="326" max="328" width="8" style="1" bestFit="1" customWidth="1"/>
    <col min="329" max="329" width="8.77734375" style="1" bestFit="1" customWidth="1"/>
    <col min="330" max="330" width="8" style="1" bestFit="1" customWidth="1"/>
    <col min="331" max="331" width="8.77734375" style="1" bestFit="1" customWidth="1"/>
    <col min="332" max="332" width="8.33203125" style="1" bestFit="1" customWidth="1"/>
    <col min="333" max="333" width="10.33203125" style="1" bestFit="1" customWidth="1"/>
    <col min="334" max="334" width="8.33203125" style="1" bestFit="1" customWidth="1"/>
    <col min="335" max="335" width="10.33203125" style="1" bestFit="1" customWidth="1"/>
    <col min="336" max="336" width="8.33203125" style="1" bestFit="1" customWidth="1"/>
    <col min="337" max="337" width="10.33203125" style="1" bestFit="1" customWidth="1"/>
    <col min="338" max="338" width="8.33203125" style="1" bestFit="1" customWidth="1"/>
    <col min="339" max="339" width="10.33203125" style="1" bestFit="1" customWidth="1"/>
    <col min="340" max="340" width="8" style="1" bestFit="1" customWidth="1"/>
    <col min="341" max="341" width="8.77734375" style="1" bestFit="1" customWidth="1"/>
    <col min="342" max="342" width="8.33203125" style="1" bestFit="1" customWidth="1"/>
    <col min="343" max="343" width="10.33203125" style="1" bestFit="1" customWidth="1"/>
    <col min="344" max="344" width="8.33203125" style="1" bestFit="1" customWidth="1"/>
    <col min="345" max="345" width="10.33203125" style="1" bestFit="1" customWidth="1"/>
    <col min="346" max="346" width="8.33203125" style="1" bestFit="1" customWidth="1"/>
    <col min="347" max="347" width="10.33203125" style="1" bestFit="1" customWidth="1"/>
    <col min="348" max="348" width="8" style="1" bestFit="1" customWidth="1"/>
    <col min="349" max="349" width="8.77734375" style="1" bestFit="1" customWidth="1"/>
    <col min="350" max="350" width="9.44140625" style="1" bestFit="1" customWidth="1"/>
    <col min="351" max="351" width="11.44140625" style="1" bestFit="1" customWidth="1"/>
    <col min="352" max="352" width="9.44140625" style="1" bestFit="1" customWidth="1"/>
    <col min="353" max="353" width="11.44140625" style="1" bestFit="1" customWidth="1"/>
    <col min="354" max="354" width="8" style="1" bestFit="1" customWidth="1"/>
    <col min="355" max="355" width="8.77734375" style="1" bestFit="1" customWidth="1"/>
    <col min="356" max="356" width="8" style="1" bestFit="1" customWidth="1"/>
    <col min="357" max="357" width="8.77734375" style="1" bestFit="1" customWidth="1"/>
    <col min="358" max="358" width="8" style="1" bestFit="1" customWidth="1"/>
    <col min="359" max="359" width="8.77734375" style="1" bestFit="1" customWidth="1"/>
    <col min="360" max="360" width="8.33203125" style="1" bestFit="1" customWidth="1"/>
    <col min="361" max="361" width="10.33203125" style="1" bestFit="1" customWidth="1"/>
    <col min="362" max="362" width="8" style="1" bestFit="1" customWidth="1"/>
    <col min="363" max="363" width="8.77734375" style="1" bestFit="1" customWidth="1"/>
    <col min="364" max="364" width="8.33203125" style="1" bestFit="1" customWidth="1"/>
    <col min="365" max="365" width="10.33203125" style="1" bestFit="1" customWidth="1"/>
    <col min="366" max="366" width="9.44140625" style="1" bestFit="1" customWidth="1"/>
    <col min="367" max="367" width="11.44140625" style="1" bestFit="1" customWidth="1"/>
    <col min="368" max="368" width="8" style="1" bestFit="1" customWidth="1"/>
    <col min="369" max="369" width="8.77734375" style="1" bestFit="1" customWidth="1"/>
    <col min="370" max="370" width="8.33203125" style="1" bestFit="1" customWidth="1"/>
    <col min="371" max="371" width="10.33203125" style="1" bestFit="1" customWidth="1"/>
    <col min="372" max="372" width="8.33203125" style="1" bestFit="1" customWidth="1"/>
    <col min="373" max="373" width="10.33203125" style="1" bestFit="1" customWidth="1"/>
    <col min="374" max="374" width="8.33203125" style="1" bestFit="1" customWidth="1"/>
    <col min="375" max="375" width="10.33203125" style="1" bestFit="1" customWidth="1"/>
    <col min="376" max="376" width="8.33203125" style="1" bestFit="1" customWidth="1"/>
    <col min="377" max="377" width="10.33203125" style="1" bestFit="1" customWidth="1"/>
    <col min="378" max="378" width="8" style="1" bestFit="1" customWidth="1"/>
    <col min="379" max="379" width="8.77734375" style="1" bestFit="1" customWidth="1"/>
    <col min="380" max="380" width="8.33203125" style="1" bestFit="1" customWidth="1"/>
    <col min="381" max="381" width="10.33203125" style="1" bestFit="1" customWidth="1"/>
    <col min="382" max="382" width="8" style="1" bestFit="1" customWidth="1"/>
    <col min="383" max="383" width="8.77734375" style="1" bestFit="1" customWidth="1"/>
    <col min="384" max="384" width="8" style="1" bestFit="1" customWidth="1"/>
    <col min="385" max="385" width="8.77734375" style="1" bestFit="1" customWidth="1"/>
    <col min="386" max="386" width="8.33203125" style="1" bestFit="1" customWidth="1"/>
    <col min="387" max="387" width="10.33203125" style="1" bestFit="1" customWidth="1"/>
    <col min="388" max="388" width="8" style="1" bestFit="1" customWidth="1"/>
    <col min="389" max="389" width="8.77734375" style="1" bestFit="1" customWidth="1"/>
    <col min="390" max="390" width="8" style="1" bestFit="1" customWidth="1"/>
    <col min="391" max="391" width="8.77734375" style="1" bestFit="1" customWidth="1"/>
    <col min="392" max="392" width="8" style="1" bestFit="1" customWidth="1"/>
    <col min="393" max="393" width="8.77734375" style="1" bestFit="1" customWidth="1"/>
    <col min="394" max="396" width="8" style="1" bestFit="1" customWidth="1"/>
    <col min="397" max="397" width="8.77734375" style="1" bestFit="1" customWidth="1"/>
    <col min="398" max="398" width="8.33203125" style="1" bestFit="1" customWidth="1"/>
    <col min="399" max="399" width="10.33203125" style="1" bestFit="1" customWidth="1"/>
    <col min="400" max="400" width="8.33203125" style="1" bestFit="1" customWidth="1"/>
    <col min="401" max="401" width="10.33203125" style="1" bestFit="1" customWidth="1"/>
    <col min="402" max="402" width="8.33203125" style="1" bestFit="1" customWidth="1"/>
    <col min="403" max="403" width="10.33203125" style="1" bestFit="1" customWidth="1"/>
    <col min="404" max="404" width="8" style="1" bestFit="1" customWidth="1"/>
    <col min="405" max="405" width="8.77734375" style="1" bestFit="1" customWidth="1"/>
    <col min="406" max="406" width="8.33203125" style="1" bestFit="1" customWidth="1"/>
    <col min="407" max="407" width="10.33203125" style="1" bestFit="1" customWidth="1"/>
    <col min="408" max="408" width="8" style="1" bestFit="1" customWidth="1"/>
    <col min="409" max="409" width="8.77734375" style="1" bestFit="1" customWidth="1"/>
    <col min="410" max="410" width="8" style="1" bestFit="1" customWidth="1"/>
    <col min="411" max="411" width="8.77734375" style="1" bestFit="1" customWidth="1"/>
    <col min="412" max="412" width="8.33203125" style="1" bestFit="1" customWidth="1"/>
    <col min="413" max="413" width="10.33203125" style="1" bestFit="1" customWidth="1"/>
    <col min="414" max="414" width="8" style="1" bestFit="1" customWidth="1"/>
    <col min="415" max="415" width="8.77734375" style="1" bestFit="1" customWidth="1"/>
    <col min="416" max="416" width="8.33203125" style="1" bestFit="1" customWidth="1"/>
    <col min="417" max="417" width="10.33203125" style="1" bestFit="1" customWidth="1"/>
    <col min="418" max="418" width="8.33203125" style="1" bestFit="1" customWidth="1"/>
    <col min="419" max="419" width="10.33203125" style="1" bestFit="1" customWidth="1"/>
    <col min="420" max="420" width="8" style="1" bestFit="1" customWidth="1"/>
    <col min="421" max="421" width="8.77734375" style="1" bestFit="1" customWidth="1"/>
    <col min="422" max="422" width="8" style="1" bestFit="1" customWidth="1"/>
    <col min="423" max="423" width="8.77734375" style="1" bestFit="1" customWidth="1"/>
    <col min="424" max="424" width="9.44140625" style="1" bestFit="1" customWidth="1"/>
    <col min="425" max="425" width="11.44140625" style="1" bestFit="1" customWidth="1"/>
    <col min="426" max="426" width="8.33203125" style="1" bestFit="1" customWidth="1"/>
    <col min="427" max="427" width="10.33203125" style="1" bestFit="1" customWidth="1"/>
    <col min="428" max="428" width="8" style="1" bestFit="1" customWidth="1"/>
    <col min="429" max="429" width="8.77734375" style="1" bestFit="1" customWidth="1"/>
    <col min="430" max="430" width="8.33203125" style="1" bestFit="1" customWidth="1"/>
    <col min="431" max="431" width="10.33203125" style="1" bestFit="1" customWidth="1"/>
    <col min="432" max="432" width="8.33203125" style="1" bestFit="1" customWidth="1"/>
    <col min="433" max="433" width="10.33203125" style="1" bestFit="1" customWidth="1"/>
    <col min="434" max="434" width="8.33203125" style="1" bestFit="1" customWidth="1"/>
    <col min="435" max="435" width="8" style="1" bestFit="1" customWidth="1"/>
    <col min="436" max="436" width="10.33203125" style="1" bestFit="1" customWidth="1"/>
    <col min="437" max="437" width="8.33203125" style="1" bestFit="1" customWidth="1"/>
    <col min="438" max="438" width="10.33203125" style="1" bestFit="1" customWidth="1"/>
    <col min="439" max="439" width="9.44140625" style="1" bestFit="1" customWidth="1"/>
    <col min="440" max="440" width="11.44140625" style="1" bestFit="1" customWidth="1"/>
    <col min="441" max="441" width="9.44140625" style="1" bestFit="1" customWidth="1"/>
    <col min="442" max="442" width="11.44140625" style="1" bestFit="1" customWidth="1"/>
    <col min="443" max="443" width="8" style="1" bestFit="1" customWidth="1"/>
    <col min="444" max="444" width="8.77734375" style="1" bestFit="1" customWidth="1"/>
    <col min="445" max="445" width="8.33203125" style="1" bestFit="1" customWidth="1"/>
    <col min="446" max="446" width="10.33203125" style="1" bestFit="1" customWidth="1"/>
    <col min="447" max="447" width="9.44140625" style="1" bestFit="1" customWidth="1"/>
    <col min="448" max="448" width="11.44140625" style="1" bestFit="1" customWidth="1"/>
    <col min="449" max="449" width="8.33203125" style="1" bestFit="1" customWidth="1"/>
    <col min="450" max="450" width="10.33203125" style="1" bestFit="1" customWidth="1"/>
    <col min="451" max="451" width="9.44140625" style="1" bestFit="1" customWidth="1"/>
    <col min="452" max="452" width="11.44140625" style="1" bestFit="1" customWidth="1"/>
    <col min="453" max="453" width="8" style="1" bestFit="1" customWidth="1"/>
    <col min="454" max="454" width="8.77734375" style="1" bestFit="1" customWidth="1"/>
    <col min="455" max="455" width="8.33203125" style="1" bestFit="1" customWidth="1"/>
    <col min="456" max="456" width="10.33203125" style="1" bestFit="1" customWidth="1"/>
    <col min="457" max="457" width="8" style="1" bestFit="1" customWidth="1"/>
    <col min="458" max="458" width="8.77734375" style="1" bestFit="1" customWidth="1"/>
    <col min="459" max="459" width="8" style="1" bestFit="1" customWidth="1"/>
    <col min="460" max="460" width="8.77734375" style="1" bestFit="1" customWidth="1"/>
    <col min="461" max="461" width="8" style="1" bestFit="1" customWidth="1"/>
    <col min="462" max="462" width="8.77734375" style="1" bestFit="1" customWidth="1"/>
    <col min="463" max="463" width="8" style="1" bestFit="1" customWidth="1"/>
    <col min="464" max="464" width="8.77734375" style="1" bestFit="1" customWidth="1"/>
    <col min="465" max="465" width="8.33203125" style="1" bestFit="1" customWidth="1"/>
    <col min="466" max="466" width="10.33203125" style="1" bestFit="1" customWidth="1"/>
    <col min="467" max="467" width="8.33203125" style="1" bestFit="1" customWidth="1"/>
    <col min="468" max="468" width="10.33203125" style="1" bestFit="1" customWidth="1"/>
    <col min="469" max="469" width="8" style="1" bestFit="1" customWidth="1"/>
    <col min="470" max="470" width="8.77734375" style="1" bestFit="1" customWidth="1"/>
    <col min="471" max="471" width="8.33203125" style="1" bestFit="1" customWidth="1"/>
    <col min="472" max="472" width="10.33203125" style="1" bestFit="1" customWidth="1"/>
    <col min="473" max="473" width="8.33203125" style="1" bestFit="1" customWidth="1"/>
    <col min="474" max="474" width="10.33203125" style="1" bestFit="1" customWidth="1"/>
    <col min="475" max="475" width="8.33203125" style="1" bestFit="1" customWidth="1"/>
    <col min="476" max="476" width="10.33203125" style="1" bestFit="1" customWidth="1"/>
    <col min="477" max="477" width="8" style="1" bestFit="1" customWidth="1"/>
    <col min="478" max="478" width="8.77734375" style="1" bestFit="1" customWidth="1"/>
    <col min="479" max="479" width="8" style="1" bestFit="1" customWidth="1"/>
    <col min="480" max="480" width="8.77734375" style="1" bestFit="1" customWidth="1"/>
    <col min="481" max="481" width="8.33203125" style="1" bestFit="1" customWidth="1"/>
    <col min="482" max="482" width="10.33203125" style="1" bestFit="1" customWidth="1"/>
    <col min="483" max="483" width="8" style="1" bestFit="1" customWidth="1"/>
    <col min="484" max="484" width="8.77734375" style="1" bestFit="1" customWidth="1"/>
    <col min="485" max="485" width="8.33203125" style="1" bestFit="1" customWidth="1"/>
    <col min="486" max="486" width="10.33203125" style="1" bestFit="1" customWidth="1"/>
    <col min="487" max="487" width="8" style="1" bestFit="1" customWidth="1"/>
    <col min="488" max="488" width="8.77734375" style="1" bestFit="1" customWidth="1"/>
    <col min="489" max="489" width="8.33203125" style="1" bestFit="1" customWidth="1"/>
    <col min="490" max="490" width="8" style="1" bestFit="1" customWidth="1"/>
    <col min="491" max="491" width="10.33203125" style="1" bestFit="1" customWidth="1"/>
    <col min="492" max="492" width="8" style="1" bestFit="1" customWidth="1"/>
    <col min="493" max="493" width="8.77734375" style="1" bestFit="1" customWidth="1"/>
    <col min="494" max="494" width="8" style="1" bestFit="1" customWidth="1"/>
    <col min="495" max="495" width="8.77734375" style="1" bestFit="1" customWidth="1"/>
    <col min="496" max="497" width="8" style="1" bestFit="1" customWidth="1"/>
    <col min="498" max="498" width="8.77734375" style="1" bestFit="1" customWidth="1"/>
    <col min="499" max="499" width="8.33203125" style="1" bestFit="1" customWidth="1"/>
    <col min="500" max="500" width="10.33203125" style="1" bestFit="1" customWidth="1"/>
    <col min="501" max="501" width="8" style="1" bestFit="1" customWidth="1"/>
    <col min="502" max="502" width="8.77734375" style="1" bestFit="1" customWidth="1"/>
    <col min="503" max="503" width="8.33203125" style="1" bestFit="1" customWidth="1"/>
    <col min="504" max="504" width="10.33203125" style="1" bestFit="1" customWidth="1"/>
    <col min="505" max="505" width="8.33203125" style="1" bestFit="1" customWidth="1"/>
    <col min="506" max="506" width="10.33203125" style="1" bestFit="1" customWidth="1"/>
    <col min="507" max="507" width="8" style="1" bestFit="1" customWidth="1"/>
    <col min="508" max="508" width="8.77734375" style="1" bestFit="1" customWidth="1"/>
    <col min="509" max="509" width="8" style="1" bestFit="1" customWidth="1"/>
    <col min="510" max="510" width="8.77734375" style="1" bestFit="1" customWidth="1"/>
    <col min="511" max="511" width="8.33203125" style="1" bestFit="1" customWidth="1"/>
    <col min="512" max="512" width="10.33203125" style="1" bestFit="1" customWidth="1"/>
    <col min="513" max="513" width="8.33203125" style="1" bestFit="1" customWidth="1"/>
    <col min="514" max="514" width="10.33203125" style="1" bestFit="1" customWidth="1"/>
    <col min="515" max="515" width="8.33203125" style="1" bestFit="1" customWidth="1"/>
    <col min="516" max="516" width="10.33203125" style="1" bestFit="1" customWidth="1"/>
    <col min="517" max="517" width="8" style="1" bestFit="1" customWidth="1"/>
    <col min="518" max="518" width="9.88671875" style="1" bestFit="1" customWidth="1"/>
    <col min="519" max="519" width="8" style="1" bestFit="1" customWidth="1"/>
    <col min="520" max="520" width="9.88671875" style="1" bestFit="1" customWidth="1"/>
    <col min="521" max="521" width="9.44140625" style="1" bestFit="1" customWidth="1"/>
    <col min="522" max="522" width="11.44140625" style="1" bestFit="1" customWidth="1"/>
    <col min="523" max="523" width="8" style="1" bestFit="1" customWidth="1"/>
    <col min="524" max="524" width="9.88671875" style="1" bestFit="1" customWidth="1"/>
    <col min="525" max="525" width="8" style="1" bestFit="1" customWidth="1"/>
    <col min="526" max="526" width="9.88671875" style="1" bestFit="1" customWidth="1"/>
    <col min="527" max="527" width="9.44140625" style="1" bestFit="1" customWidth="1"/>
    <col min="528" max="528" width="11.44140625" style="1" bestFit="1" customWidth="1"/>
    <col min="529" max="529" width="9.44140625" style="1" bestFit="1" customWidth="1"/>
    <col min="530" max="530" width="11.44140625" style="1" bestFit="1" customWidth="1"/>
    <col min="531" max="531" width="8" style="1" bestFit="1" customWidth="1"/>
    <col min="532" max="532" width="9.88671875" style="1" bestFit="1" customWidth="1"/>
    <col min="533" max="533" width="9.44140625" style="1" bestFit="1" customWidth="1"/>
    <col min="534" max="534" width="11.44140625" style="1" bestFit="1" customWidth="1"/>
    <col min="535" max="535" width="9.44140625" style="1" bestFit="1" customWidth="1"/>
    <col min="536" max="536" width="11.44140625" style="1" bestFit="1" customWidth="1"/>
    <col min="537" max="537" width="9.44140625" style="1" bestFit="1" customWidth="1"/>
    <col min="538" max="538" width="11.44140625" style="1" bestFit="1" customWidth="1"/>
    <col min="539" max="539" width="9.44140625" style="1" bestFit="1" customWidth="1"/>
    <col min="540" max="540" width="11.44140625" style="1" bestFit="1" customWidth="1"/>
    <col min="541" max="541" width="8" style="1" bestFit="1" customWidth="1"/>
    <col min="542" max="542" width="9.88671875" style="1" bestFit="1" customWidth="1"/>
    <col min="543" max="543" width="9.44140625" style="1" bestFit="1" customWidth="1"/>
    <col min="544" max="544" width="11.44140625" style="1" bestFit="1" customWidth="1"/>
    <col min="545" max="546" width="8" style="1" bestFit="1" customWidth="1"/>
    <col min="547" max="547" width="9.88671875" style="1" bestFit="1" customWidth="1"/>
    <col min="548" max="548" width="8" style="1" bestFit="1" customWidth="1"/>
    <col min="549" max="549" width="9.88671875" style="1" bestFit="1" customWidth="1"/>
    <col min="550" max="550" width="9.44140625" style="1" bestFit="1" customWidth="1"/>
    <col min="551" max="551" width="11.44140625" style="1" bestFit="1" customWidth="1"/>
    <col min="552" max="552" width="10.44140625" style="1" bestFit="1" customWidth="1"/>
    <col min="553" max="553" width="12.44140625" style="1" bestFit="1" customWidth="1"/>
    <col min="554" max="554" width="9.44140625" style="1" bestFit="1" customWidth="1"/>
    <col min="555" max="556" width="8" style="1" bestFit="1" customWidth="1"/>
    <col min="557" max="557" width="11.44140625" style="1" bestFit="1" customWidth="1"/>
    <col min="558" max="558" width="9.44140625" style="1" bestFit="1" customWidth="1"/>
    <col min="559" max="559" width="11.44140625" style="1" bestFit="1" customWidth="1"/>
    <col min="560" max="560" width="10.44140625" style="1" bestFit="1" customWidth="1"/>
    <col min="561" max="561" width="12.44140625" style="1" bestFit="1" customWidth="1"/>
    <col min="562" max="562" width="8" style="1" bestFit="1" customWidth="1"/>
    <col min="563" max="563" width="9.88671875" style="1" bestFit="1" customWidth="1"/>
    <col min="564" max="564" width="8" style="1" bestFit="1" customWidth="1"/>
    <col min="565" max="565" width="9.88671875" style="1" bestFit="1" customWidth="1"/>
    <col min="566" max="566" width="8" style="1" bestFit="1" customWidth="1"/>
    <col min="567" max="567" width="9.88671875" style="1" bestFit="1" customWidth="1"/>
    <col min="568" max="568" width="10.44140625" style="1" bestFit="1" customWidth="1"/>
    <col min="569" max="569" width="12.44140625" style="1" bestFit="1" customWidth="1"/>
    <col min="570" max="570" width="9.44140625" style="1" bestFit="1" customWidth="1"/>
    <col min="571" max="571" width="11.44140625" style="1" bestFit="1" customWidth="1"/>
    <col min="572" max="572" width="9.44140625" style="1" bestFit="1" customWidth="1"/>
    <col min="573" max="573" width="11.44140625" style="1" bestFit="1" customWidth="1"/>
    <col min="574" max="574" width="8" style="1" bestFit="1" customWidth="1"/>
    <col min="575" max="575" width="9.88671875" style="1" bestFit="1" customWidth="1"/>
    <col min="576" max="576" width="9.44140625" style="1" bestFit="1" customWidth="1"/>
    <col min="577" max="577" width="11.44140625" style="1" bestFit="1" customWidth="1"/>
    <col min="578" max="578" width="9.44140625" style="1" bestFit="1" customWidth="1"/>
    <col min="579" max="579" width="11.44140625" style="1" bestFit="1" customWidth="1"/>
    <col min="580" max="580" width="10.44140625" style="1" bestFit="1" customWidth="1"/>
    <col min="581" max="581" width="12.44140625" style="1" bestFit="1" customWidth="1"/>
    <col min="582" max="582" width="8" style="1" bestFit="1" customWidth="1"/>
    <col min="583" max="583" width="9.88671875" style="1" bestFit="1" customWidth="1"/>
    <col min="584" max="584" width="9.44140625" style="1" bestFit="1" customWidth="1"/>
    <col min="585" max="585" width="11.44140625" style="1" bestFit="1" customWidth="1"/>
    <col min="586" max="586" width="9.44140625" style="1" bestFit="1" customWidth="1"/>
    <col min="587" max="587" width="11.44140625" style="1" bestFit="1" customWidth="1"/>
    <col min="588" max="588" width="9.44140625" style="1" bestFit="1" customWidth="1"/>
    <col min="589" max="589" width="11.44140625" style="1" bestFit="1" customWidth="1"/>
    <col min="590" max="592" width="8" style="1" bestFit="1" customWidth="1"/>
    <col min="593" max="593" width="9.88671875" style="1" bestFit="1" customWidth="1"/>
    <col min="594" max="594" width="10.44140625" style="1" bestFit="1" customWidth="1"/>
    <col min="595" max="595" width="12.44140625" style="1" bestFit="1" customWidth="1"/>
    <col min="596" max="596" width="10.44140625" style="1" bestFit="1" customWidth="1"/>
    <col min="597" max="597" width="12.44140625" style="1" bestFit="1" customWidth="1"/>
    <col min="598" max="598" width="9.44140625" style="1" bestFit="1" customWidth="1"/>
    <col min="599" max="599" width="11.44140625" style="1" bestFit="1" customWidth="1"/>
    <col min="600" max="600" width="9.44140625" style="1" bestFit="1" customWidth="1"/>
    <col min="601" max="601" width="11.44140625" style="1" bestFit="1" customWidth="1"/>
    <col min="602" max="602" width="8" style="1" bestFit="1" customWidth="1"/>
    <col min="603" max="603" width="9.88671875" style="1" bestFit="1" customWidth="1"/>
    <col min="604" max="604" width="10.44140625" style="1" bestFit="1" customWidth="1"/>
    <col min="605" max="605" width="12.44140625" style="1" bestFit="1" customWidth="1"/>
    <col min="606" max="606" width="10.44140625" style="1" bestFit="1" customWidth="1"/>
    <col min="607" max="607" width="12.44140625" style="1" bestFit="1" customWidth="1"/>
    <col min="608" max="608" width="8" style="1" bestFit="1" customWidth="1"/>
    <col min="609" max="609" width="9.88671875" style="1" bestFit="1" customWidth="1"/>
    <col min="610" max="610" width="9.44140625" style="1" bestFit="1" customWidth="1"/>
    <col min="611" max="611" width="11.44140625" style="1" bestFit="1" customWidth="1"/>
    <col min="612" max="612" width="9.44140625" style="1" bestFit="1" customWidth="1"/>
    <col min="613" max="613" width="11.44140625" style="1" bestFit="1" customWidth="1"/>
    <col min="614" max="614" width="8" style="1" bestFit="1" customWidth="1"/>
    <col min="615" max="615" width="9.88671875" style="1" bestFit="1" customWidth="1"/>
    <col min="616" max="616" width="8" style="1" bestFit="1" customWidth="1"/>
    <col min="617" max="617" width="9.88671875" style="1" bestFit="1" customWidth="1"/>
    <col min="618" max="619" width="8" style="1" bestFit="1" customWidth="1"/>
    <col min="620" max="620" width="9.88671875" style="1" bestFit="1" customWidth="1"/>
    <col min="621" max="621" width="9.44140625" style="1" bestFit="1" customWidth="1"/>
    <col min="622" max="622" width="11.44140625" style="1" bestFit="1" customWidth="1"/>
    <col min="623" max="623" width="8" style="1" bestFit="1" customWidth="1"/>
    <col min="624" max="624" width="9.88671875" style="1" bestFit="1" customWidth="1"/>
    <col min="625" max="626" width="8" style="1" bestFit="1" customWidth="1"/>
    <col min="627" max="627" width="9.88671875" style="1" bestFit="1" customWidth="1"/>
    <col min="628" max="628" width="9.44140625" style="1" bestFit="1" customWidth="1"/>
    <col min="629" max="629" width="11.44140625" style="1" bestFit="1" customWidth="1"/>
    <col min="630" max="630" width="9.44140625" style="1" bestFit="1" customWidth="1"/>
    <col min="631" max="631" width="8" style="1" bestFit="1" customWidth="1"/>
    <col min="632" max="632" width="11.44140625" style="1" bestFit="1" customWidth="1"/>
    <col min="633" max="633" width="8" style="1" bestFit="1" customWidth="1"/>
    <col min="634" max="634" width="9.88671875" style="1" bestFit="1" customWidth="1"/>
    <col min="635" max="635" width="8" style="1" bestFit="1" customWidth="1"/>
    <col min="636" max="636" width="9.88671875" style="1" bestFit="1" customWidth="1"/>
    <col min="637" max="637" width="9.44140625" style="1" bestFit="1" customWidth="1"/>
    <col min="638" max="638" width="11.44140625" style="1" bestFit="1" customWidth="1"/>
    <col min="639" max="639" width="8" style="1" bestFit="1" customWidth="1"/>
    <col min="640" max="640" width="9.88671875" style="1" bestFit="1" customWidth="1"/>
    <col min="641" max="641" width="10.44140625" style="1" bestFit="1" customWidth="1"/>
    <col min="642" max="642" width="12.44140625" style="1" bestFit="1" customWidth="1"/>
    <col min="643" max="643" width="9.44140625" style="1" bestFit="1" customWidth="1"/>
    <col min="644" max="644" width="11.44140625" style="1" bestFit="1" customWidth="1"/>
    <col min="645" max="645" width="10.44140625" style="1" bestFit="1" customWidth="1"/>
    <col min="646" max="646" width="12.44140625" style="1" bestFit="1" customWidth="1"/>
    <col min="647" max="647" width="9.44140625" style="1" bestFit="1" customWidth="1"/>
    <col min="648" max="648" width="11.44140625" style="1" bestFit="1" customWidth="1"/>
    <col min="649" max="649" width="9.5546875" style="1" bestFit="1" customWidth="1"/>
    <col min="650" max="650" width="11.44140625" style="1" bestFit="1" customWidth="1"/>
    <col min="651" max="651" width="9.44140625" style="1" bestFit="1" customWidth="1"/>
    <col min="652" max="652" width="11.44140625" style="1" bestFit="1" customWidth="1"/>
    <col min="653" max="653" width="9.44140625" style="1" bestFit="1" customWidth="1"/>
    <col min="654" max="654" width="11.44140625" style="1" bestFit="1" customWidth="1"/>
    <col min="655" max="655" width="9.44140625" style="1" bestFit="1" customWidth="1"/>
    <col min="656" max="656" width="11.44140625" style="1" bestFit="1" customWidth="1"/>
    <col min="657" max="657" width="9.44140625" style="1" bestFit="1" customWidth="1"/>
    <col min="658" max="658" width="8" style="1" bestFit="1" customWidth="1"/>
    <col min="659" max="659" width="11.44140625" style="1" bestFit="1" customWidth="1"/>
    <col min="660" max="660" width="8" style="1" bestFit="1" customWidth="1"/>
    <col min="661" max="661" width="9.88671875" style="1" bestFit="1" customWidth="1"/>
    <col min="662" max="662" width="9.44140625" style="1" bestFit="1" customWidth="1"/>
    <col min="663" max="663" width="11.44140625" style="1" bestFit="1" customWidth="1"/>
    <col min="664" max="664" width="9.5546875" style="1" bestFit="1" customWidth="1"/>
    <col min="665" max="665" width="9.88671875" style="1" bestFit="1" customWidth="1"/>
    <col min="666" max="666" width="9.44140625" style="1" bestFit="1" customWidth="1"/>
    <col min="667" max="667" width="11.44140625" style="1" bestFit="1" customWidth="1"/>
    <col min="668" max="668" width="8" style="1" bestFit="1" customWidth="1"/>
    <col min="669" max="669" width="9.5546875" style="1" bestFit="1" customWidth="1"/>
    <col min="670" max="670" width="9.88671875" style="1" bestFit="1" customWidth="1"/>
    <col min="671" max="672" width="8" style="1" bestFit="1" customWidth="1"/>
    <col min="673" max="673" width="9.88671875" style="1" bestFit="1" customWidth="1"/>
    <col min="674" max="674" width="8" style="1" bestFit="1" customWidth="1"/>
    <col min="675" max="675" width="9.88671875" style="1" bestFit="1" customWidth="1"/>
    <col min="676" max="676" width="9.44140625" style="1" bestFit="1" customWidth="1"/>
    <col min="677" max="677" width="11.44140625" style="1" bestFit="1" customWidth="1"/>
    <col min="678" max="678" width="8" style="1" bestFit="1" customWidth="1"/>
    <col min="679" max="679" width="9.88671875" style="1" bestFit="1" customWidth="1"/>
    <col min="680" max="680" width="9.44140625" style="1" bestFit="1" customWidth="1"/>
    <col min="681" max="681" width="11.44140625" style="1" bestFit="1" customWidth="1"/>
    <col min="682" max="682" width="8" style="1" bestFit="1" customWidth="1"/>
    <col min="683" max="683" width="9.5546875" style="1" bestFit="1" customWidth="1"/>
    <col min="684" max="684" width="9.88671875" style="1" bestFit="1" customWidth="1"/>
    <col min="685" max="685" width="8" style="1" bestFit="1" customWidth="1"/>
    <col min="686" max="686" width="9.88671875" style="1" bestFit="1" customWidth="1"/>
    <col min="687" max="687" width="9.44140625" style="1" bestFit="1" customWidth="1"/>
    <col min="688" max="688" width="11.44140625" style="1" bestFit="1" customWidth="1"/>
    <col min="689" max="689" width="8" style="1" bestFit="1" customWidth="1"/>
    <col min="690" max="690" width="9.88671875" style="1" bestFit="1" customWidth="1"/>
    <col min="691" max="691" width="8" style="1" bestFit="1" customWidth="1"/>
    <col min="692" max="692" width="9.88671875" style="1" bestFit="1" customWidth="1"/>
    <col min="693" max="693" width="8" style="1" bestFit="1" customWidth="1"/>
    <col min="694" max="694" width="9.88671875" style="1" bestFit="1" customWidth="1"/>
    <col min="695" max="695" width="10.44140625" style="1" bestFit="1" customWidth="1"/>
    <col min="696" max="696" width="12.44140625" style="1" bestFit="1" customWidth="1"/>
    <col min="697" max="697" width="9.44140625" style="1" bestFit="1" customWidth="1"/>
    <col min="698" max="698" width="11.44140625" style="1" bestFit="1" customWidth="1"/>
    <col min="699" max="699" width="8" style="1" bestFit="1" customWidth="1"/>
    <col min="700" max="700" width="9.88671875" style="1" bestFit="1" customWidth="1"/>
    <col min="701" max="701" width="9.44140625" style="1" bestFit="1" customWidth="1"/>
    <col min="702" max="702" width="11.44140625" style="1" bestFit="1" customWidth="1"/>
    <col min="703" max="703" width="8" style="1" bestFit="1" customWidth="1"/>
    <col min="704" max="704" width="9.5546875" style="1" bestFit="1" customWidth="1"/>
    <col min="705" max="705" width="9.88671875" style="1" bestFit="1" customWidth="1"/>
    <col min="706" max="706" width="10.44140625" style="1" bestFit="1" customWidth="1"/>
    <col min="707" max="707" width="12.44140625" style="1" bestFit="1" customWidth="1"/>
    <col min="708" max="708" width="9.44140625" style="1" bestFit="1" customWidth="1"/>
    <col min="709" max="709" width="11.44140625" style="1" bestFit="1" customWidth="1"/>
    <col min="710" max="710" width="9.44140625" style="1" bestFit="1" customWidth="1"/>
    <col min="711" max="711" width="11.44140625" style="1" bestFit="1" customWidth="1"/>
    <col min="712" max="712" width="9.44140625" style="1" bestFit="1" customWidth="1"/>
    <col min="713" max="713" width="11.44140625" style="1" bestFit="1" customWidth="1"/>
    <col min="714" max="714" width="10.44140625" style="1" bestFit="1" customWidth="1"/>
    <col min="715" max="715" width="12.44140625" style="1" bestFit="1" customWidth="1"/>
    <col min="716" max="716" width="8" style="1" bestFit="1" customWidth="1"/>
    <col min="717" max="717" width="9.88671875" style="1" bestFit="1" customWidth="1"/>
    <col min="718" max="718" width="8" style="1" bestFit="1" customWidth="1"/>
    <col min="719" max="719" width="9.88671875" style="1" bestFit="1" customWidth="1"/>
    <col min="720" max="720" width="8" style="1" bestFit="1" customWidth="1"/>
    <col min="721" max="721" width="9.88671875" style="1" bestFit="1" customWidth="1"/>
    <col min="722" max="722" width="8" style="1" bestFit="1" customWidth="1"/>
    <col min="723" max="723" width="9.88671875" style="1" bestFit="1" customWidth="1"/>
    <col min="724" max="724" width="9.44140625" style="1" bestFit="1" customWidth="1"/>
    <col min="725" max="725" width="11.44140625" style="1" bestFit="1" customWidth="1"/>
    <col min="726" max="726" width="9.5546875" style="1" bestFit="1" customWidth="1"/>
    <col min="727" max="727" width="9.88671875" style="1" bestFit="1" customWidth="1"/>
    <col min="728" max="728" width="8" style="1" bestFit="1" customWidth="1"/>
    <col min="729" max="729" width="9.88671875" style="1" bestFit="1" customWidth="1"/>
    <col min="730" max="730" width="10.44140625" style="1" bestFit="1" customWidth="1"/>
    <col min="731" max="731" width="12.44140625" style="1" bestFit="1" customWidth="1"/>
    <col min="732" max="732" width="9.44140625" style="1" bestFit="1" customWidth="1"/>
    <col min="733" max="733" width="11.44140625" style="1" bestFit="1" customWidth="1"/>
    <col min="734" max="734" width="8" style="1" bestFit="1" customWidth="1"/>
    <col min="735" max="735" width="9.88671875" style="1" bestFit="1" customWidth="1"/>
    <col min="736" max="736" width="8" style="1" bestFit="1" customWidth="1"/>
    <col min="737" max="737" width="9.88671875" style="1" bestFit="1" customWidth="1"/>
    <col min="738" max="738" width="9.5546875" style="1" bestFit="1" customWidth="1"/>
    <col min="739" max="739" width="11.44140625" style="1" bestFit="1" customWidth="1"/>
    <col min="740" max="740" width="8" style="1" bestFit="1" customWidth="1"/>
    <col min="741" max="741" width="9.88671875" style="1" bestFit="1" customWidth="1"/>
    <col min="742" max="742" width="9.5546875" style="1" bestFit="1" customWidth="1"/>
    <col min="743" max="743" width="11.44140625" style="1" bestFit="1" customWidth="1"/>
    <col min="744" max="744" width="9.44140625" style="1" bestFit="1" customWidth="1"/>
    <col min="745" max="745" width="11.44140625" style="1" bestFit="1" customWidth="1"/>
    <col min="746" max="746" width="9.44140625" style="1" bestFit="1" customWidth="1"/>
    <col min="747" max="747" width="11.44140625" style="1" bestFit="1" customWidth="1"/>
    <col min="748" max="748" width="8" style="1" bestFit="1" customWidth="1"/>
    <col min="749" max="749" width="9.88671875" style="1" bestFit="1" customWidth="1"/>
    <col min="750" max="750" width="9.44140625" style="1" bestFit="1" customWidth="1"/>
    <col min="751" max="751" width="11.44140625" style="1" bestFit="1" customWidth="1"/>
    <col min="752" max="752" width="9.44140625" style="1" bestFit="1" customWidth="1"/>
    <col min="753" max="753" width="11.44140625" style="1" bestFit="1" customWidth="1"/>
    <col min="754" max="754" width="8" style="1" bestFit="1" customWidth="1"/>
    <col min="755" max="755" width="9.88671875" style="1" bestFit="1" customWidth="1"/>
    <col min="756" max="756" width="8" style="1" bestFit="1" customWidth="1"/>
    <col min="757" max="757" width="9.88671875" style="1" bestFit="1" customWidth="1"/>
    <col min="758" max="758" width="10.44140625" style="1" bestFit="1" customWidth="1"/>
    <col min="759" max="759" width="9.5546875" style="1" bestFit="1" customWidth="1"/>
    <col min="760" max="760" width="12.44140625" style="1" bestFit="1" customWidth="1"/>
    <col min="761" max="761" width="10.44140625" style="1" bestFit="1" customWidth="1"/>
    <col min="762" max="762" width="12.44140625" style="1" bestFit="1" customWidth="1"/>
    <col min="763" max="763" width="9.5546875" style="1" bestFit="1" customWidth="1"/>
    <col min="764" max="764" width="11.44140625" style="1" bestFit="1" customWidth="1"/>
    <col min="765" max="765" width="9.5546875" style="1" bestFit="1" customWidth="1"/>
    <col min="766" max="766" width="11.44140625" style="1" bestFit="1" customWidth="1"/>
    <col min="767" max="767" width="8" style="1" bestFit="1" customWidth="1"/>
    <col min="768" max="768" width="9.88671875" style="1" bestFit="1" customWidth="1"/>
    <col min="769" max="769" width="9.44140625" style="1" bestFit="1" customWidth="1"/>
    <col min="770" max="770" width="11.44140625" style="1" bestFit="1" customWidth="1"/>
    <col min="771" max="771" width="8" style="1" bestFit="1" customWidth="1"/>
    <col min="772" max="772" width="9.88671875" style="1" bestFit="1" customWidth="1"/>
    <col min="773" max="773" width="9.5546875" style="1" bestFit="1" customWidth="1"/>
    <col min="774" max="774" width="9.88671875" style="1" bestFit="1" customWidth="1"/>
    <col min="775" max="775" width="8" style="1" bestFit="1" customWidth="1"/>
    <col min="776" max="776" width="9.88671875" style="1" bestFit="1" customWidth="1"/>
    <col min="777" max="777" width="8" style="1" bestFit="1" customWidth="1"/>
    <col min="778" max="778" width="9.88671875" style="1" bestFit="1" customWidth="1"/>
    <col min="779" max="779" width="8" style="1" bestFit="1" customWidth="1"/>
    <col min="780" max="780" width="9.88671875" style="1" bestFit="1" customWidth="1"/>
    <col min="781" max="781" width="8" style="1" bestFit="1" customWidth="1"/>
    <col min="782" max="782" width="9.88671875" style="1" bestFit="1" customWidth="1"/>
    <col min="783" max="783" width="9.44140625" style="1" bestFit="1" customWidth="1"/>
    <col min="784" max="784" width="11.44140625" style="1" bestFit="1" customWidth="1"/>
    <col min="785" max="785" width="10.44140625" style="1" bestFit="1" customWidth="1"/>
    <col min="786" max="786" width="12.44140625" style="1" bestFit="1" customWidth="1"/>
    <col min="787" max="787" width="8" style="1" bestFit="1" customWidth="1"/>
    <col min="788" max="788" width="9.88671875" style="1" bestFit="1" customWidth="1"/>
    <col min="789" max="789" width="10.44140625" style="1" bestFit="1" customWidth="1"/>
    <col min="790" max="790" width="12.44140625" style="1" bestFit="1" customWidth="1"/>
    <col min="791" max="791" width="8" style="1" bestFit="1" customWidth="1"/>
    <col min="792" max="792" width="9.88671875" style="1" bestFit="1" customWidth="1"/>
    <col min="793" max="793" width="9.44140625" style="1" bestFit="1" customWidth="1"/>
    <col min="794" max="794" width="8" style="1" bestFit="1" customWidth="1"/>
    <col min="795" max="795" width="11.44140625" style="1" bestFit="1" customWidth="1"/>
    <col min="796" max="796" width="9.44140625" style="1" bestFit="1" customWidth="1"/>
    <col min="797" max="797" width="11.44140625" style="1" bestFit="1" customWidth="1"/>
    <col min="798" max="798" width="9.44140625" style="1" bestFit="1" customWidth="1"/>
    <col min="799" max="799" width="11.44140625" style="1" bestFit="1" customWidth="1"/>
    <col min="800" max="800" width="8" style="1" bestFit="1" customWidth="1"/>
    <col min="801" max="801" width="9.88671875" style="1" bestFit="1" customWidth="1"/>
    <col min="802" max="802" width="8" style="1" bestFit="1" customWidth="1"/>
    <col min="803" max="803" width="9.88671875" style="1" bestFit="1" customWidth="1"/>
    <col min="804" max="804" width="9.44140625" style="1" bestFit="1" customWidth="1"/>
    <col min="805" max="805" width="11.44140625" style="1" bestFit="1" customWidth="1"/>
    <col min="806" max="806" width="8" style="1" bestFit="1" customWidth="1"/>
    <col min="807" max="807" width="9.88671875" style="1" bestFit="1" customWidth="1"/>
    <col min="808" max="808" width="9.5546875" style="1" bestFit="1" customWidth="1"/>
    <col min="809" max="809" width="11.44140625" style="1" bestFit="1" customWidth="1"/>
    <col min="810" max="810" width="9.5546875" style="1" bestFit="1" customWidth="1"/>
    <col min="811" max="811" width="11.44140625" style="1" bestFit="1" customWidth="1"/>
    <col min="812" max="813" width="8" style="1" bestFit="1" customWidth="1"/>
    <col min="814" max="814" width="9.88671875" style="1" bestFit="1" customWidth="1"/>
    <col min="815" max="815" width="9.5546875" style="1" bestFit="1" customWidth="1"/>
    <col min="816" max="816" width="9.88671875" style="1" bestFit="1" customWidth="1"/>
    <col min="817" max="817" width="10.44140625" style="1" bestFit="1" customWidth="1"/>
    <col min="818" max="818" width="12.44140625" style="1" bestFit="1" customWidth="1"/>
    <col min="819" max="819" width="9.5546875" style="1" bestFit="1" customWidth="1"/>
    <col min="820" max="820" width="9.88671875" style="1" bestFit="1" customWidth="1"/>
    <col min="821" max="821" width="8" style="1" bestFit="1" customWidth="1"/>
    <col min="822" max="822" width="9.88671875" style="1" bestFit="1" customWidth="1"/>
    <col min="823" max="823" width="9.44140625" style="1" bestFit="1" customWidth="1"/>
    <col min="824" max="824" width="11.44140625" style="1" bestFit="1" customWidth="1"/>
    <col min="825" max="825" width="8" style="1" bestFit="1" customWidth="1"/>
    <col min="826" max="826" width="9.88671875" style="1" bestFit="1" customWidth="1"/>
    <col min="827" max="827" width="8" style="1" bestFit="1" customWidth="1"/>
    <col min="828" max="828" width="9.88671875" style="1" bestFit="1" customWidth="1"/>
    <col min="829" max="829" width="9.5546875" style="1" bestFit="1" customWidth="1"/>
    <col min="830" max="830" width="9.88671875" style="1" bestFit="1" customWidth="1"/>
    <col min="831" max="831" width="8" style="1" bestFit="1" customWidth="1"/>
    <col min="832" max="832" width="9.88671875" style="1" bestFit="1" customWidth="1"/>
    <col min="833" max="833" width="9.44140625" style="1" bestFit="1" customWidth="1"/>
    <col min="834" max="834" width="11.44140625" style="1" bestFit="1" customWidth="1"/>
    <col min="835" max="835" width="9.5546875" style="1" bestFit="1" customWidth="1"/>
    <col min="836" max="836" width="9.88671875" style="1" bestFit="1" customWidth="1"/>
    <col min="837" max="837" width="10.44140625" style="1" bestFit="1" customWidth="1"/>
    <col min="838" max="838" width="12.44140625" style="1" bestFit="1" customWidth="1"/>
    <col min="839" max="839" width="8" style="1" bestFit="1" customWidth="1"/>
    <col min="840" max="840" width="9.88671875" style="1" bestFit="1" customWidth="1"/>
    <col min="841" max="841" width="9.5546875" style="1" bestFit="1" customWidth="1"/>
    <col min="842" max="842" width="11.44140625" style="1" bestFit="1" customWidth="1"/>
    <col min="843" max="843" width="8" style="1" bestFit="1" customWidth="1"/>
    <col min="844" max="844" width="9.88671875" style="1" bestFit="1" customWidth="1"/>
    <col min="845" max="845" width="8" style="1" bestFit="1" customWidth="1"/>
    <col min="846" max="846" width="9.88671875" style="1" bestFit="1" customWidth="1"/>
    <col min="847" max="847" width="9.5546875" style="1" bestFit="1" customWidth="1"/>
    <col min="848" max="848" width="9.88671875" style="1" bestFit="1" customWidth="1"/>
    <col min="849" max="849" width="8" style="1" bestFit="1" customWidth="1"/>
    <col min="850" max="850" width="9.88671875" style="1" bestFit="1" customWidth="1"/>
    <col min="851" max="851" width="10.44140625" style="1" bestFit="1" customWidth="1"/>
    <col min="852" max="852" width="12.44140625" style="1" bestFit="1" customWidth="1"/>
    <col min="853" max="853" width="9.5546875" style="1" bestFit="1" customWidth="1"/>
    <col min="854" max="854" width="9.88671875" style="1" bestFit="1" customWidth="1"/>
    <col min="855" max="855" width="11" style="1" bestFit="1" customWidth="1"/>
    <col min="856" max="16384" width="8.88671875" style="1"/>
  </cols>
  <sheetData>
    <row r="1" spans="1:855">
      <c r="A1" s="1" t="s">
        <v>37</v>
      </c>
      <c r="B1" s="1" t="s">
        <v>38</v>
      </c>
      <c r="C1" s="1" t="s">
        <v>39</v>
      </c>
      <c r="D1" s="1" t="s">
        <v>0</v>
      </c>
      <c r="E1" s="1" t="s">
        <v>1</v>
      </c>
      <c r="F1" s="1" t="s">
        <v>2</v>
      </c>
      <c r="G1" s="1" t="s">
        <v>40</v>
      </c>
      <c r="H1" s="1" t="s">
        <v>4</v>
      </c>
      <c r="I1" s="1" t="s">
        <v>41</v>
      </c>
      <c r="J1" s="1" t="s">
        <v>42</v>
      </c>
      <c r="K1" s="1" t="s">
        <v>43</v>
      </c>
      <c r="L1" s="1" t="s">
        <v>798</v>
      </c>
      <c r="M1" s="1" t="s">
        <v>819</v>
      </c>
      <c r="N1" s="11" t="s">
        <v>821</v>
      </c>
      <c r="O1" s="1" t="s">
        <v>830</v>
      </c>
    </row>
    <row r="2" spans="1:855">
      <c r="A2" s="1" t="s">
        <v>209</v>
      </c>
      <c r="B2" s="1" t="s">
        <v>210</v>
      </c>
      <c r="C2" s="1" t="s">
        <v>211</v>
      </c>
      <c r="D2" s="1" t="s">
        <v>150</v>
      </c>
      <c r="E2" s="1" t="s">
        <v>180</v>
      </c>
      <c r="F2" s="1" t="s">
        <v>17</v>
      </c>
      <c r="G2" s="1">
        <v>1</v>
      </c>
      <c r="H2" s="1">
        <v>143</v>
      </c>
      <c r="I2" s="1">
        <v>10</v>
      </c>
      <c r="J2" s="18">
        <v>128.69999999999999</v>
      </c>
      <c r="K2" s="1" t="s">
        <v>49</v>
      </c>
      <c r="L2" s="1" t="str">
        <f>TEXT(B2,"mmm")</f>
        <v>Jun</v>
      </c>
      <c r="M2" s="2">
        <f>(H2-_xlfn.XLOOKUP(D2,Product_Master!A:A,Product_Master!D:D))*G2</f>
        <v>42</v>
      </c>
      <c r="N2" s="13">
        <f>M2/J2</f>
        <v>0.32634032634032639</v>
      </c>
      <c r="O2" s="16">
        <f>G2/Inventory!$G$2</f>
        <v>1.7543859649122806E-2</v>
      </c>
      <c r="Q2"/>
      <c r="R2"/>
      <c r="S2"/>
      <c r="U2"/>
      <c r="V2" s="3" t="s">
        <v>43</v>
      </c>
      <c r="W2" t="s">
        <v>837</v>
      </c>
      <c r="X2"/>
      <c r="Y2"/>
      <c r="Z2"/>
      <c r="AA2"/>
    </row>
    <row r="3" spans="1:855">
      <c r="A3" s="1" t="s">
        <v>212</v>
      </c>
      <c r="B3" s="1" t="s">
        <v>213</v>
      </c>
      <c r="C3" s="1" t="s">
        <v>72</v>
      </c>
      <c r="D3" s="1" t="s">
        <v>156</v>
      </c>
      <c r="E3" s="1" t="s">
        <v>186</v>
      </c>
      <c r="F3" s="1" t="s">
        <v>147</v>
      </c>
      <c r="G3" s="1">
        <v>13</v>
      </c>
      <c r="H3" s="1">
        <v>95</v>
      </c>
      <c r="I3" s="1">
        <v>5</v>
      </c>
      <c r="J3" s="1">
        <v>1173.25</v>
      </c>
      <c r="K3" s="1" t="s">
        <v>76</v>
      </c>
      <c r="L3" s="1" t="str">
        <f>TEXT(B3,"mmm")</f>
        <v>Apr</v>
      </c>
      <c r="M3" s="2">
        <f>(H3-_xlfn.XLOOKUP(D3,Product_Master!A:A,Product_Master!D:D))*G3</f>
        <v>962</v>
      </c>
      <c r="N3" s="13">
        <f t="shared" ref="N3:N66" si="0">M3/J3</f>
        <v>0.81994459833795019</v>
      </c>
      <c r="O3" s="16">
        <f>G3/Inventory!$G$2</f>
        <v>0.22807017543859648</v>
      </c>
      <c r="Q3"/>
      <c r="R3"/>
      <c r="S3"/>
      <c r="U3"/>
      <c r="V3"/>
      <c r="W3"/>
      <c r="X3"/>
      <c r="Y3"/>
      <c r="Z3"/>
      <c r="AA3"/>
    </row>
    <row r="4" spans="1:855">
      <c r="A4" s="1" t="s">
        <v>214</v>
      </c>
      <c r="B4" s="1" t="s">
        <v>143</v>
      </c>
      <c r="C4" s="1" t="s">
        <v>211</v>
      </c>
      <c r="D4" s="1" t="s">
        <v>174</v>
      </c>
      <c r="E4" s="1" t="s">
        <v>204</v>
      </c>
      <c r="F4" s="1" t="s">
        <v>7</v>
      </c>
      <c r="G4" s="1">
        <v>11</v>
      </c>
      <c r="H4" s="1">
        <v>160</v>
      </c>
      <c r="I4" s="1">
        <v>0</v>
      </c>
      <c r="J4" s="1">
        <v>1760</v>
      </c>
      <c r="K4" s="1" t="s">
        <v>215</v>
      </c>
      <c r="L4" s="1" t="str">
        <f t="shared" ref="L4:L67" si="1">TEXT(B4,"mmm")</f>
        <v>Feb</v>
      </c>
      <c r="M4" s="2">
        <f>(H4-_xlfn.XLOOKUP(D4,Product_Master!A:A,Product_Master!D:D))*G4</f>
        <v>605</v>
      </c>
      <c r="N4" s="13">
        <f t="shared" si="0"/>
        <v>0.34375</v>
      </c>
      <c r="O4" s="16">
        <f>G4/Inventory!$G$2</f>
        <v>0.19298245614035087</v>
      </c>
      <c r="P4" s="5" t="s">
        <v>802</v>
      </c>
      <c r="Q4"/>
      <c r="R4" s="3" t="s">
        <v>799</v>
      </c>
      <c r="S4" t="s">
        <v>818</v>
      </c>
      <c r="T4"/>
      <c r="U4"/>
      <c r="V4" s="3" t="s">
        <v>799</v>
      </c>
      <c r="W4" t="s">
        <v>820</v>
      </c>
      <c r="X4" t="s">
        <v>822</v>
      </c>
      <c r="Y4" t="s">
        <v>823</v>
      </c>
      <c r="Z4"/>
      <c r="AA4" s="3" t="s">
        <v>799</v>
      </c>
      <c r="AB4" t="s">
        <v>820</v>
      </c>
      <c r="AC4" t="s">
        <v>822</v>
      </c>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row>
    <row r="5" spans="1:855">
      <c r="A5" s="1" t="s">
        <v>216</v>
      </c>
      <c r="B5" s="1" t="s">
        <v>131</v>
      </c>
      <c r="C5" s="1" t="s">
        <v>48</v>
      </c>
      <c r="D5" s="1" t="s">
        <v>154</v>
      </c>
      <c r="E5" s="1" t="s">
        <v>184</v>
      </c>
      <c r="F5" s="1" t="s">
        <v>17</v>
      </c>
      <c r="G5" s="1">
        <v>1</v>
      </c>
      <c r="H5" s="1">
        <v>151</v>
      </c>
      <c r="I5" s="1">
        <v>0</v>
      </c>
      <c r="J5" s="1">
        <v>151</v>
      </c>
      <c r="K5" s="1" t="s">
        <v>49</v>
      </c>
      <c r="L5" s="1" t="str">
        <f t="shared" si="1"/>
        <v>Jan</v>
      </c>
      <c r="M5" s="2">
        <f>(H5-_xlfn.XLOOKUP(D5,Product_Master!A:A,Product_Master!D:D))*G5</f>
        <v>53</v>
      </c>
      <c r="N5" s="13">
        <f t="shared" si="0"/>
        <v>0.35099337748344372</v>
      </c>
      <c r="O5" s="16">
        <f>G5/Inventory!$G$2</f>
        <v>1.7543859649122806E-2</v>
      </c>
      <c r="P5" s="5">
        <v>448372.15000000008</v>
      </c>
      <c r="Q5"/>
      <c r="R5" s="4" t="s">
        <v>812</v>
      </c>
      <c r="S5" s="24">
        <v>88968.650000000009</v>
      </c>
      <c r="T5"/>
      <c r="U5"/>
      <c r="V5" s="4" t="s">
        <v>147</v>
      </c>
      <c r="W5" s="24">
        <v>92694.499999999985</v>
      </c>
      <c r="X5" s="5">
        <v>38332</v>
      </c>
      <c r="Y5" s="14">
        <v>44.597418833241697</v>
      </c>
      <c r="Z5"/>
      <c r="AA5" s="4" t="s">
        <v>203</v>
      </c>
      <c r="AB5" s="24">
        <v>14052.900000000001</v>
      </c>
      <c r="AC5" s="5">
        <v>7560</v>
      </c>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row>
    <row r="6" spans="1:855">
      <c r="A6" s="1" t="s">
        <v>217</v>
      </c>
      <c r="B6" s="1" t="s">
        <v>85</v>
      </c>
      <c r="C6" s="1" t="s">
        <v>65</v>
      </c>
      <c r="D6" s="1" t="s">
        <v>8</v>
      </c>
      <c r="E6" s="1" t="s">
        <v>9</v>
      </c>
      <c r="F6" s="1" t="s">
        <v>10</v>
      </c>
      <c r="G6" s="1">
        <v>5</v>
      </c>
      <c r="H6" s="1">
        <v>146</v>
      </c>
      <c r="I6" s="1">
        <v>10</v>
      </c>
      <c r="J6" s="1">
        <v>657</v>
      </c>
      <c r="K6" s="1" t="s">
        <v>76</v>
      </c>
      <c r="L6" s="1" t="str">
        <f t="shared" si="1"/>
        <v>Apr</v>
      </c>
      <c r="M6" s="2">
        <f>(H6-_xlfn.XLOOKUP(D6,Product_Master!A:A,Product_Master!D:D))*G6</f>
        <v>250</v>
      </c>
      <c r="N6" s="13">
        <f t="shared" si="0"/>
        <v>0.38051750380517502</v>
      </c>
      <c r="O6" s="16">
        <f>G6/Inventory!$G$2</f>
        <v>8.771929824561403E-2</v>
      </c>
      <c r="P6"/>
      <c r="Q6"/>
      <c r="R6" s="4" t="s">
        <v>813</v>
      </c>
      <c r="S6" s="24">
        <v>62529.05</v>
      </c>
      <c r="T6"/>
      <c r="U6"/>
      <c r="V6" s="4" t="s">
        <v>17</v>
      </c>
      <c r="W6" s="24">
        <v>121242.70000000001</v>
      </c>
      <c r="X6" s="5">
        <v>58149</v>
      </c>
      <c r="Y6" s="14">
        <v>66.908831232682061</v>
      </c>
      <c r="Z6"/>
      <c r="AA6" s="4" t="s">
        <v>180</v>
      </c>
      <c r="AB6" s="24">
        <v>15429.7</v>
      </c>
      <c r="AC6" s="5">
        <v>4914</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row>
    <row r="7" spans="1:855">
      <c r="A7" s="1" t="s">
        <v>218</v>
      </c>
      <c r="B7" s="1" t="s">
        <v>73</v>
      </c>
      <c r="C7" s="1" t="s">
        <v>45</v>
      </c>
      <c r="D7" s="1" t="s">
        <v>171</v>
      </c>
      <c r="E7" s="1" t="s">
        <v>201</v>
      </c>
      <c r="F7" s="1" t="s">
        <v>17</v>
      </c>
      <c r="G7" s="1">
        <v>6</v>
      </c>
      <c r="H7" s="1">
        <v>154</v>
      </c>
      <c r="I7" s="1">
        <v>10</v>
      </c>
      <c r="J7" s="1">
        <v>831.6</v>
      </c>
      <c r="K7" s="1" t="s">
        <v>46</v>
      </c>
      <c r="L7" s="1" t="str">
        <f t="shared" si="1"/>
        <v>Apr</v>
      </c>
      <c r="M7" s="2">
        <f>(H7-_xlfn.XLOOKUP(D7,Product_Master!A:A,Product_Master!D:D))*G7</f>
        <v>348</v>
      </c>
      <c r="N7" s="13">
        <f t="shared" si="0"/>
        <v>0.41847041847041844</v>
      </c>
      <c r="O7" s="16">
        <f>G7/Inventory!$G$2</f>
        <v>0.10526315789473684</v>
      </c>
      <c r="P7" t="s">
        <v>801</v>
      </c>
      <c r="Q7"/>
      <c r="R7" s="4" t="s">
        <v>814</v>
      </c>
      <c r="S7" s="24">
        <v>83526.349999999991</v>
      </c>
      <c r="T7"/>
      <c r="U7"/>
      <c r="V7" s="4" t="s">
        <v>146</v>
      </c>
      <c r="W7" s="24">
        <v>107131.80000000002</v>
      </c>
      <c r="X7" s="5">
        <v>53299</v>
      </c>
      <c r="Y7" s="14">
        <v>49.054798922352326</v>
      </c>
      <c r="Z7"/>
      <c r="AA7" s="4" t="s">
        <v>197</v>
      </c>
      <c r="AB7" s="24">
        <v>15889.5</v>
      </c>
      <c r="AC7" s="5">
        <v>10160</v>
      </c>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row>
    <row r="8" spans="1:855">
      <c r="A8" s="1" t="s">
        <v>219</v>
      </c>
      <c r="B8" s="1" t="s">
        <v>56</v>
      </c>
      <c r="C8" s="1" t="s">
        <v>48</v>
      </c>
      <c r="D8" s="1" t="s">
        <v>173</v>
      </c>
      <c r="E8" s="1" t="s">
        <v>203</v>
      </c>
      <c r="F8" s="1" t="s">
        <v>17</v>
      </c>
      <c r="G8" s="1">
        <v>15</v>
      </c>
      <c r="H8" s="1">
        <v>139</v>
      </c>
      <c r="I8" s="1">
        <v>0</v>
      </c>
      <c r="J8" s="1">
        <v>2085</v>
      </c>
      <c r="K8" s="1" t="s">
        <v>46</v>
      </c>
      <c r="L8" s="1" t="str">
        <f t="shared" si="1"/>
        <v>Feb</v>
      </c>
      <c r="M8" s="2">
        <f>(H8-_xlfn.XLOOKUP(D8,Product_Master!A:A,Product_Master!D:D))*G8</f>
        <v>1050</v>
      </c>
      <c r="N8" s="13">
        <f t="shared" si="0"/>
        <v>0.50359712230215825</v>
      </c>
      <c r="O8" s="16">
        <f>G8/Inventory!$G$2</f>
        <v>0.26315789473684209</v>
      </c>
      <c r="P8" s="5">
        <v>207956</v>
      </c>
      <c r="Q8"/>
      <c r="R8" s="4" t="s">
        <v>815</v>
      </c>
      <c r="S8" s="24">
        <v>81735.700000000012</v>
      </c>
      <c r="T8"/>
      <c r="U8"/>
      <c r="V8" s="4" t="s">
        <v>10</v>
      </c>
      <c r="W8" s="24">
        <v>60312.2</v>
      </c>
      <c r="X8" s="5">
        <v>25410</v>
      </c>
      <c r="Y8" s="14">
        <v>34.175013830996967</v>
      </c>
      <c r="Z8"/>
      <c r="AA8" s="4" t="s">
        <v>27</v>
      </c>
      <c r="AB8" s="24">
        <v>16920</v>
      </c>
      <c r="AC8" s="5">
        <v>7656</v>
      </c>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row>
    <row r="9" spans="1:855">
      <c r="A9" s="1" t="s">
        <v>220</v>
      </c>
      <c r="B9" s="1" t="s">
        <v>141</v>
      </c>
      <c r="C9" s="1" t="s">
        <v>54</v>
      </c>
      <c r="D9" s="1" t="s">
        <v>154</v>
      </c>
      <c r="E9" s="1" t="s">
        <v>184</v>
      </c>
      <c r="F9" s="1" t="s">
        <v>17</v>
      </c>
      <c r="G9" s="1">
        <v>4</v>
      </c>
      <c r="H9" s="1">
        <v>151</v>
      </c>
      <c r="I9" s="1">
        <v>15</v>
      </c>
      <c r="J9" s="1">
        <v>513.4</v>
      </c>
      <c r="K9" s="1" t="s">
        <v>55</v>
      </c>
      <c r="L9" s="1" t="str">
        <f t="shared" si="1"/>
        <v>Apr</v>
      </c>
      <c r="M9" s="2">
        <f>(H9-_xlfn.XLOOKUP(D9,Product_Master!A:A,Product_Master!D:D))*G9</f>
        <v>212</v>
      </c>
      <c r="N9" s="13">
        <f t="shared" si="0"/>
        <v>0.41293338527463969</v>
      </c>
      <c r="O9" s="16">
        <f>G9/Inventory!$G$2</f>
        <v>7.0175438596491224E-2</v>
      </c>
      <c r="P9"/>
      <c r="Q9"/>
      <c r="R9" s="4" t="s">
        <v>816</v>
      </c>
      <c r="S9" s="24">
        <v>66014.35000000002</v>
      </c>
      <c r="T9"/>
      <c r="U9"/>
      <c r="V9" s="4" t="s">
        <v>7</v>
      </c>
      <c r="W9" s="24">
        <v>66990.950000000012</v>
      </c>
      <c r="X9" s="5">
        <v>32766</v>
      </c>
      <c r="Y9" s="14">
        <v>45.132236331026697</v>
      </c>
      <c r="Z9"/>
      <c r="AA9" s="4" t="s">
        <v>207</v>
      </c>
      <c r="AB9" s="24">
        <v>17262.25</v>
      </c>
      <c r="AC9" s="5">
        <v>10496</v>
      </c>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row>
    <row r="10" spans="1:855">
      <c r="A10" s="1" t="s">
        <v>221</v>
      </c>
      <c r="B10" s="1" t="s">
        <v>132</v>
      </c>
      <c r="C10" s="1" t="s">
        <v>222</v>
      </c>
      <c r="D10" s="1" t="s">
        <v>150</v>
      </c>
      <c r="E10" s="1" t="s">
        <v>180</v>
      </c>
      <c r="F10" s="1" t="s">
        <v>17</v>
      </c>
      <c r="G10" s="1">
        <v>7</v>
      </c>
      <c r="H10" s="1">
        <v>143</v>
      </c>
      <c r="I10" s="1">
        <v>0</v>
      </c>
      <c r="J10" s="1">
        <v>1001</v>
      </c>
      <c r="K10" s="1" t="s">
        <v>46</v>
      </c>
      <c r="L10" s="1" t="str">
        <f t="shared" si="1"/>
        <v>Mar</v>
      </c>
      <c r="M10" s="2">
        <f>(H10-_xlfn.XLOOKUP(D10,Product_Master!A:A,Product_Master!D:D))*G10</f>
        <v>294</v>
      </c>
      <c r="N10" s="13">
        <f t="shared" si="0"/>
        <v>0.2937062937062937</v>
      </c>
      <c r="O10" s="16">
        <f>G10/Inventory!$G$2</f>
        <v>0.12280701754385964</v>
      </c>
      <c r="P10" s="10" t="s">
        <v>803</v>
      </c>
      <c r="Q10"/>
      <c r="R10" s="4" t="s">
        <v>817</v>
      </c>
      <c r="S10" s="24">
        <v>65598.049999999988</v>
      </c>
      <c r="T10"/>
      <c r="U10"/>
      <c r="V10" s="4" t="s">
        <v>800</v>
      </c>
      <c r="W10" s="24">
        <v>448372.15</v>
      </c>
      <c r="X10" s="5">
        <v>207956</v>
      </c>
      <c r="Y10" s="14">
        <v>239.86829915029972</v>
      </c>
      <c r="Z10"/>
      <c r="AA10" s="4" t="s">
        <v>202</v>
      </c>
      <c r="AB10" s="24">
        <v>17760.750000000004</v>
      </c>
      <c r="AC10" s="5">
        <v>8928</v>
      </c>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row>
    <row r="11" spans="1:855">
      <c r="A11" s="1" t="s">
        <v>223</v>
      </c>
      <c r="B11" s="1" t="s">
        <v>124</v>
      </c>
      <c r="C11" s="1" t="s">
        <v>224</v>
      </c>
      <c r="D11" s="1" t="s">
        <v>159</v>
      </c>
      <c r="E11" s="1" t="s">
        <v>189</v>
      </c>
      <c r="F11" s="1" t="s">
        <v>146</v>
      </c>
      <c r="G11" s="1">
        <v>11</v>
      </c>
      <c r="H11" s="1">
        <v>147</v>
      </c>
      <c r="I11" s="1">
        <v>10</v>
      </c>
      <c r="J11" s="1">
        <v>1455.3</v>
      </c>
      <c r="K11" s="1" t="s">
        <v>55</v>
      </c>
      <c r="L11" s="1" t="str">
        <f t="shared" si="1"/>
        <v>Feb</v>
      </c>
      <c r="M11" s="2">
        <f>(H11-_xlfn.XLOOKUP(D11,Product_Master!A:A,Product_Master!D:D))*G11</f>
        <v>946</v>
      </c>
      <c r="N11" s="13">
        <f t="shared" si="0"/>
        <v>0.6500377928949358</v>
      </c>
      <c r="O11" s="16">
        <f>G11/Inventory!$G$2</f>
        <v>0.19298245614035087</v>
      </c>
      <c r="P11" s="9">
        <f>(P8/P5)</f>
        <v>0.46380222322015308</v>
      </c>
      <c r="Q11"/>
      <c r="R11" s="4" t="s">
        <v>800</v>
      </c>
      <c r="S11" s="24">
        <v>448372.15</v>
      </c>
      <c r="T11"/>
      <c r="U11"/>
      <c r="V11"/>
      <c r="W11"/>
      <c r="X11"/>
      <c r="Y11"/>
      <c r="Z11"/>
      <c r="AA11" s="4" t="s">
        <v>192</v>
      </c>
      <c r="AB11" s="24">
        <v>18505.199999999997</v>
      </c>
      <c r="AC11" s="5">
        <v>6380</v>
      </c>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row>
    <row r="12" spans="1:855">
      <c r="A12" s="1" t="s">
        <v>225</v>
      </c>
      <c r="B12" s="1" t="s">
        <v>226</v>
      </c>
      <c r="C12" s="1" t="s">
        <v>45</v>
      </c>
      <c r="D12" s="1" t="s">
        <v>153</v>
      </c>
      <c r="E12" s="1" t="s">
        <v>183</v>
      </c>
      <c r="F12" s="1" t="s">
        <v>17</v>
      </c>
      <c r="G12" s="1">
        <v>14</v>
      </c>
      <c r="H12" s="1">
        <v>89</v>
      </c>
      <c r="I12" s="1">
        <v>0</v>
      </c>
      <c r="J12" s="1">
        <v>1246</v>
      </c>
      <c r="K12" s="1" t="s">
        <v>46</v>
      </c>
      <c r="L12" s="1" t="str">
        <f t="shared" si="1"/>
        <v>May</v>
      </c>
      <c r="M12" s="2">
        <f>(H12-_xlfn.XLOOKUP(D12,Product_Master!A:A,Product_Master!D:D))*G12</f>
        <v>910</v>
      </c>
      <c r="N12" s="13">
        <f t="shared" si="0"/>
        <v>0.7303370786516854</v>
      </c>
      <c r="O12" s="16">
        <f>G12/Inventory!$G$2</f>
        <v>0.24561403508771928</v>
      </c>
      <c r="P12"/>
      <c r="Q12"/>
      <c r="R12"/>
      <c r="S12"/>
      <c r="T12"/>
      <c r="U12" s="3" t="s">
        <v>799</v>
      </c>
      <c r="V12" t="s">
        <v>820</v>
      </c>
      <c r="W12" t="s">
        <v>824</v>
      </c>
      <c r="X12" t="s">
        <v>823</v>
      </c>
      <c r="Y12"/>
      <c r="Z12"/>
      <c r="AA12" s="4" t="s">
        <v>194</v>
      </c>
      <c r="AB12" s="24">
        <v>19210.5</v>
      </c>
      <c r="AC12" s="5">
        <v>6407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row>
    <row r="13" spans="1:855">
      <c r="A13" s="1" t="s">
        <v>227</v>
      </c>
      <c r="B13" s="1" t="s">
        <v>136</v>
      </c>
      <c r="C13" s="1" t="s">
        <v>224</v>
      </c>
      <c r="D13" s="1" t="s">
        <v>154</v>
      </c>
      <c r="E13" s="1" t="s">
        <v>184</v>
      </c>
      <c r="F13" s="1" t="s">
        <v>17</v>
      </c>
      <c r="G13" s="1">
        <v>2</v>
      </c>
      <c r="H13" s="1">
        <v>151</v>
      </c>
      <c r="I13" s="1">
        <v>5</v>
      </c>
      <c r="J13" s="1">
        <v>286.89999999999998</v>
      </c>
      <c r="K13" s="1" t="s">
        <v>55</v>
      </c>
      <c r="L13" s="1" t="str">
        <f t="shared" si="1"/>
        <v>Jan</v>
      </c>
      <c r="M13" s="2">
        <f>(H13-_xlfn.XLOOKUP(D13,Product_Master!A:A,Product_Master!D:D))*G13</f>
        <v>106</v>
      </c>
      <c r="N13" s="13">
        <f t="shared" si="0"/>
        <v>0.36946671314046708</v>
      </c>
      <c r="O13" s="16">
        <f>G13/Inventory!$G$2</f>
        <v>3.5087719298245612E-2</v>
      </c>
      <c r="P13"/>
      <c r="Q13"/>
      <c r="R13" s="3" t="s">
        <v>799</v>
      </c>
      <c r="S13" t="s">
        <v>820</v>
      </c>
      <c r="T13"/>
      <c r="U13" s="4">
        <v>0</v>
      </c>
      <c r="V13" s="24">
        <v>136454</v>
      </c>
      <c r="W13" s="5">
        <v>58870</v>
      </c>
      <c r="X13" s="14">
        <v>56.235858197302015</v>
      </c>
      <c r="Y13"/>
      <c r="Z13"/>
      <c r="AA13" s="4" t="s">
        <v>206</v>
      </c>
      <c r="AB13" s="24">
        <v>20000.5</v>
      </c>
      <c r="AC13" s="5">
        <v>7497</v>
      </c>
      <c r="AD13"/>
      <c r="AE13" s="3" t="s">
        <v>43</v>
      </c>
      <c r="AF13" t="s">
        <v>820</v>
      </c>
      <c r="AG13" t="s">
        <v>822</v>
      </c>
      <c r="AH13" t="s">
        <v>823</v>
      </c>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row>
    <row r="14" spans="1:855">
      <c r="A14" s="1" t="s">
        <v>228</v>
      </c>
      <c r="B14" s="1" t="s">
        <v>229</v>
      </c>
      <c r="C14" s="1" t="s">
        <v>54</v>
      </c>
      <c r="D14" s="1" t="s">
        <v>8</v>
      </c>
      <c r="E14" s="1" t="s">
        <v>9</v>
      </c>
      <c r="F14" s="1" t="s">
        <v>10</v>
      </c>
      <c r="G14" s="1">
        <v>8</v>
      </c>
      <c r="H14" s="1">
        <v>146</v>
      </c>
      <c r="I14" s="1">
        <v>15</v>
      </c>
      <c r="J14" s="1">
        <v>992.8</v>
      </c>
      <c r="K14" s="1" t="s">
        <v>76</v>
      </c>
      <c r="L14" s="1" t="str">
        <f t="shared" si="1"/>
        <v>Apr</v>
      </c>
      <c r="M14" s="2">
        <f>(H14-_xlfn.XLOOKUP(D14,Product_Master!A:A,Product_Master!D:D))*G14</f>
        <v>400</v>
      </c>
      <c r="N14" s="13">
        <f t="shared" si="0"/>
        <v>0.40290088638195004</v>
      </c>
      <c r="O14" s="16">
        <f>G14/Inventory!$G$2</f>
        <v>0.14035087719298245</v>
      </c>
      <c r="P14" t="s">
        <v>804</v>
      </c>
      <c r="Q14"/>
      <c r="R14" s="4" t="s">
        <v>46</v>
      </c>
      <c r="S14" s="24">
        <v>82119.799999999988</v>
      </c>
      <c r="T14"/>
      <c r="U14" s="4">
        <v>5</v>
      </c>
      <c r="V14" s="24">
        <v>118280.69999999997</v>
      </c>
      <c r="W14" s="5">
        <v>53029</v>
      </c>
      <c r="X14" s="14">
        <v>63.315565597087634</v>
      </c>
      <c r="Y14"/>
      <c r="Z14"/>
      <c r="AA14" s="4" t="s">
        <v>185</v>
      </c>
      <c r="AB14" s="24">
        <v>22253.400000000005</v>
      </c>
      <c r="AC14" s="5">
        <v>9639</v>
      </c>
      <c r="AD14"/>
      <c r="AE14" t="s">
        <v>46</v>
      </c>
      <c r="AF14" s="24">
        <v>82119.799999999988</v>
      </c>
      <c r="AG14" s="5">
        <v>39144</v>
      </c>
      <c r="AH14" s="20">
        <v>0.17920869595155933</v>
      </c>
      <c r="AI14"/>
    </row>
    <row r="15" spans="1:855">
      <c r="A15" s="1" t="s">
        <v>230</v>
      </c>
      <c r="B15" s="1" t="s">
        <v>122</v>
      </c>
      <c r="C15" s="1" t="s">
        <v>222</v>
      </c>
      <c r="D15" s="1" t="s">
        <v>176</v>
      </c>
      <c r="E15" s="1" t="s">
        <v>206</v>
      </c>
      <c r="F15" s="1" t="s">
        <v>146</v>
      </c>
      <c r="G15" s="1">
        <v>11</v>
      </c>
      <c r="H15" s="1">
        <v>181</v>
      </c>
      <c r="I15" s="1">
        <v>5</v>
      </c>
      <c r="J15" s="1">
        <v>1891.45</v>
      </c>
      <c r="K15" s="1" t="s">
        <v>55</v>
      </c>
      <c r="L15" s="1" t="str">
        <f t="shared" si="1"/>
        <v>Jan</v>
      </c>
      <c r="M15" s="2">
        <f>(H15-_xlfn.XLOOKUP(D15,Product_Master!A:A,Product_Master!D:D))*G15</f>
        <v>693</v>
      </c>
      <c r="N15" s="13">
        <f t="shared" si="0"/>
        <v>0.36638557720267517</v>
      </c>
      <c r="O15" s="16">
        <f>G15/Inventory!$G$2</f>
        <v>0.19298245614035087</v>
      </c>
      <c r="P15">
        <v>500</v>
      </c>
      <c r="Q15"/>
      <c r="R15" s="4" t="s">
        <v>215</v>
      </c>
      <c r="S15" s="24">
        <v>80975.7</v>
      </c>
      <c r="T15"/>
      <c r="U15" s="4">
        <v>10</v>
      </c>
      <c r="V15" s="24">
        <v>99186.300000000017</v>
      </c>
      <c r="W15" s="5">
        <v>48498</v>
      </c>
      <c r="X15" s="14">
        <v>53.169602624031207</v>
      </c>
      <c r="Y15"/>
      <c r="Z15"/>
      <c r="AA15" s="4" t="s">
        <v>800</v>
      </c>
      <c r="AB15" s="24">
        <v>177284.7</v>
      </c>
      <c r="AC15" s="5">
        <v>79637</v>
      </c>
      <c r="AD15"/>
      <c r="AE15" t="s">
        <v>215</v>
      </c>
      <c r="AF15" s="24">
        <v>80975.7</v>
      </c>
      <c r="AG15" s="5">
        <v>36871</v>
      </c>
      <c r="AH15" s="20">
        <v>0.16632487196030116</v>
      </c>
      <c r="AI15"/>
    </row>
    <row r="16" spans="1:855">
      <c r="A16" s="1" t="s">
        <v>231</v>
      </c>
      <c r="B16" s="1" t="s">
        <v>80</v>
      </c>
      <c r="C16" s="1" t="s">
        <v>45</v>
      </c>
      <c r="D16" s="1" t="s">
        <v>11</v>
      </c>
      <c r="E16" s="1" t="s">
        <v>12</v>
      </c>
      <c r="F16" s="1" t="s">
        <v>147</v>
      </c>
      <c r="G16" s="1">
        <v>1</v>
      </c>
      <c r="H16" s="1">
        <v>86</v>
      </c>
      <c r="I16" s="1">
        <v>5</v>
      </c>
      <c r="J16" s="1">
        <v>81.7</v>
      </c>
      <c r="K16" s="1" t="s">
        <v>46</v>
      </c>
      <c r="L16" s="1" t="str">
        <f t="shared" si="1"/>
        <v>Jan</v>
      </c>
      <c r="M16" s="2">
        <f>(H16-_xlfn.XLOOKUP(D16,Product_Master!A:A,Product_Master!D:D))*G16</f>
        <v>20</v>
      </c>
      <c r="N16" s="13">
        <f t="shared" si="0"/>
        <v>0.24479804161566707</v>
      </c>
      <c r="O16" s="16">
        <f>G16/Inventory!$G$2</f>
        <v>1.7543859649122806E-2</v>
      </c>
      <c r="P16"/>
      <c r="Q16"/>
      <c r="R16" s="4" t="s">
        <v>49</v>
      </c>
      <c r="S16" s="24">
        <v>73435.10000000002</v>
      </c>
      <c r="T16"/>
      <c r="U16" s="4">
        <v>15</v>
      </c>
      <c r="V16" s="24">
        <v>94451.15</v>
      </c>
      <c r="W16" s="5">
        <v>47559</v>
      </c>
      <c r="X16" s="14">
        <v>67.147272731878886</v>
      </c>
      <c r="Y16"/>
      <c r="Z16"/>
      <c r="AA16"/>
      <c r="AB16"/>
      <c r="AC16"/>
      <c r="AE16" t="s">
        <v>49</v>
      </c>
      <c r="AF16" s="24">
        <v>73435.10000000002</v>
      </c>
      <c r="AG16" s="5">
        <v>35183</v>
      </c>
      <c r="AH16" s="20">
        <v>0.17134229266469436</v>
      </c>
    </row>
    <row r="17" spans="1:34">
      <c r="A17" s="1" t="s">
        <v>232</v>
      </c>
      <c r="B17" s="1" t="s">
        <v>233</v>
      </c>
      <c r="C17" s="1" t="s">
        <v>72</v>
      </c>
      <c r="D17" s="1" t="s">
        <v>152</v>
      </c>
      <c r="E17" s="1" t="s">
        <v>182</v>
      </c>
      <c r="F17" s="1" t="s">
        <v>146</v>
      </c>
      <c r="G17" s="1">
        <v>7</v>
      </c>
      <c r="H17" s="1">
        <v>158</v>
      </c>
      <c r="I17" s="1">
        <v>0</v>
      </c>
      <c r="J17" s="1">
        <v>1106</v>
      </c>
      <c r="K17" s="1" t="s">
        <v>215</v>
      </c>
      <c r="L17" s="1" t="str">
        <f t="shared" si="1"/>
        <v>Jun</v>
      </c>
      <c r="M17" s="2">
        <f>(H17-_xlfn.XLOOKUP(D17,Product_Master!A:A,Product_Master!D:D))*G17</f>
        <v>665</v>
      </c>
      <c r="N17" s="13">
        <f t="shared" si="0"/>
        <v>0.60126582278481011</v>
      </c>
      <c r="O17" s="16">
        <f>G17/Inventory!$G$2</f>
        <v>0.12280701754385964</v>
      </c>
      <c r="P17" t="s">
        <v>805</v>
      </c>
      <c r="Q17"/>
      <c r="R17" s="4" t="s">
        <v>235</v>
      </c>
      <c r="S17" s="24">
        <v>68341.900000000009</v>
      </c>
      <c r="T17"/>
      <c r="U17" s="4" t="s">
        <v>800</v>
      </c>
      <c r="V17" s="24">
        <v>448372.15</v>
      </c>
      <c r="W17" s="5">
        <v>207956</v>
      </c>
      <c r="X17" s="14">
        <v>239.86829915029972</v>
      </c>
      <c r="Y17"/>
      <c r="Z17"/>
      <c r="AA17"/>
      <c r="AB17"/>
      <c r="AC17"/>
      <c r="AE17" t="s">
        <v>235</v>
      </c>
      <c r="AF17" s="24">
        <v>68341.900000000009</v>
      </c>
      <c r="AG17" s="5">
        <v>31757</v>
      </c>
      <c r="AH17" s="20">
        <v>0.15776580624448761</v>
      </c>
    </row>
    <row r="18" spans="1:34">
      <c r="A18" s="1" t="s">
        <v>234</v>
      </c>
      <c r="B18" s="1" t="s">
        <v>120</v>
      </c>
      <c r="C18" s="1" t="s">
        <v>65</v>
      </c>
      <c r="D18" s="1" t="s">
        <v>177</v>
      </c>
      <c r="E18" s="1" t="s">
        <v>207</v>
      </c>
      <c r="F18" s="1" t="s">
        <v>146</v>
      </c>
      <c r="G18" s="1">
        <v>11</v>
      </c>
      <c r="H18" s="1">
        <v>145</v>
      </c>
      <c r="I18" s="1">
        <v>10</v>
      </c>
      <c r="J18" s="1">
        <v>1435.5</v>
      </c>
      <c r="K18" s="1" t="s">
        <v>235</v>
      </c>
      <c r="L18" s="1" t="str">
        <f t="shared" si="1"/>
        <v>Apr</v>
      </c>
      <c r="M18" s="2">
        <f>(H18-_xlfn.XLOOKUP(D18,Product_Master!A:A,Product_Master!D:D))*G18</f>
        <v>902</v>
      </c>
      <c r="N18" s="13">
        <f t="shared" si="0"/>
        <v>0.62835249042145591</v>
      </c>
      <c r="O18" s="16">
        <f>G18/Inventory!$G$2</f>
        <v>0.19298245614035087</v>
      </c>
      <c r="P18">
        <v>4033</v>
      </c>
      <c r="Q18"/>
      <c r="R18" s="4" t="s">
        <v>76</v>
      </c>
      <c r="S18" s="24">
        <v>67032.799999999988</v>
      </c>
      <c r="T18"/>
      <c r="U18"/>
      <c r="V18"/>
      <c r="W18"/>
      <c r="X18"/>
      <c r="Y18"/>
      <c r="Z18"/>
      <c r="AA18" s="3" t="s">
        <v>832</v>
      </c>
      <c r="AB18" t="s">
        <v>820</v>
      </c>
      <c r="AC18" t="s">
        <v>824</v>
      </c>
      <c r="AE18" t="s">
        <v>76</v>
      </c>
      <c r="AF18" s="24">
        <v>67032.799999999988</v>
      </c>
      <c r="AG18" s="5">
        <v>29649</v>
      </c>
      <c r="AH18" s="20">
        <v>0.15902730268067766</v>
      </c>
    </row>
    <row r="19" spans="1:34">
      <c r="A19" s="1" t="s">
        <v>236</v>
      </c>
      <c r="B19" s="1" t="s">
        <v>237</v>
      </c>
      <c r="C19" s="1" t="s">
        <v>57</v>
      </c>
      <c r="D19" s="1" t="s">
        <v>148</v>
      </c>
      <c r="E19" s="1" t="s">
        <v>178</v>
      </c>
      <c r="F19" s="1" t="s">
        <v>147</v>
      </c>
      <c r="G19" s="1">
        <v>2</v>
      </c>
      <c r="H19" s="1">
        <v>90</v>
      </c>
      <c r="I19" s="1">
        <v>5</v>
      </c>
      <c r="J19" s="1">
        <v>171</v>
      </c>
      <c r="K19" s="1" t="s">
        <v>46</v>
      </c>
      <c r="L19" s="1" t="str">
        <f t="shared" si="1"/>
        <v>Jun</v>
      </c>
      <c r="M19" s="2">
        <f>(H19-_xlfn.XLOOKUP(D19,Product_Master!A:A,Product_Master!D:D))*G19</f>
        <v>62</v>
      </c>
      <c r="N19" s="13">
        <f t="shared" si="0"/>
        <v>0.36257309941520466</v>
      </c>
      <c r="O19" s="16">
        <f>G19/Inventory!$G$2</f>
        <v>3.5087719298245612E-2</v>
      </c>
      <c r="P19"/>
      <c r="Q19"/>
      <c r="R19" s="4" t="s">
        <v>55</v>
      </c>
      <c r="S19" s="24">
        <v>76466.849999999977</v>
      </c>
      <c r="T19"/>
      <c r="U19" s="3" t="s">
        <v>799</v>
      </c>
      <c r="V19" t="s">
        <v>831</v>
      </c>
      <c r="W19"/>
      <c r="X19" s="3" t="s">
        <v>799</v>
      </c>
      <c r="Y19" t="s">
        <v>831</v>
      </c>
      <c r="Z19"/>
      <c r="AA19" s="4" t="s">
        <v>224</v>
      </c>
      <c r="AB19" s="19">
        <v>53665.749999999993</v>
      </c>
      <c r="AC19" s="19">
        <v>24972</v>
      </c>
      <c r="AE19" t="s">
        <v>55</v>
      </c>
      <c r="AF19" s="24">
        <v>76466.849999999977</v>
      </c>
      <c r="AG19" s="5">
        <v>35352</v>
      </c>
      <c r="AH19" s="20">
        <v>0.16633103049828002</v>
      </c>
    </row>
    <row r="20" spans="1:34">
      <c r="A20" s="1" t="s">
        <v>238</v>
      </c>
      <c r="B20" s="1" t="s">
        <v>239</v>
      </c>
      <c r="C20" s="1" t="s">
        <v>222</v>
      </c>
      <c r="D20" s="1" t="s">
        <v>171</v>
      </c>
      <c r="E20" s="1" t="s">
        <v>201</v>
      </c>
      <c r="F20" s="1" t="s">
        <v>17</v>
      </c>
      <c r="G20" s="1">
        <v>9</v>
      </c>
      <c r="H20" s="1">
        <v>154</v>
      </c>
      <c r="I20" s="1">
        <v>5</v>
      </c>
      <c r="J20" s="1">
        <v>1316.7</v>
      </c>
      <c r="K20" s="1" t="s">
        <v>46</v>
      </c>
      <c r="L20" s="1" t="str">
        <f t="shared" si="1"/>
        <v>May</v>
      </c>
      <c r="M20" s="2">
        <f>(H20-_xlfn.XLOOKUP(D20,Product_Master!A:A,Product_Master!D:D))*G20</f>
        <v>522</v>
      </c>
      <c r="N20" s="13">
        <f t="shared" si="0"/>
        <v>0.39644565960355432</v>
      </c>
      <c r="O20" s="16">
        <f>G20/Inventory!$G$2</f>
        <v>0.15789473684210525</v>
      </c>
      <c r="P20" s="5" t="s">
        <v>806</v>
      </c>
      <c r="Q20"/>
      <c r="R20" s="4" t="s">
        <v>800</v>
      </c>
      <c r="S20" s="24">
        <v>448372.15</v>
      </c>
      <c r="T20"/>
      <c r="U20" s="4" t="s">
        <v>193</v>
      </c>
      <c r="V20" s="17">
        <v>2.2982456140350873</v>
      </c>
      <c r="W20"/>
      <c r="X20" s="4" t="s">
        <v>198</v>
      </c>
      <c r="Y20" s="17">
        <v>1.1578947368421051</v>
      </c>
      <c r="Z20"/>
      <c r="AA20" s="4" t="s">
        <v>65</v>
      </c>
      <c r="AB20" s="19">
        <v>44119.749999999993</v>
      </c>
      <c r="AC20" s="19">
        <v>19332</v>
      </c>
      <c r="AE20" t="s">
        <v>800</v>
      </c>
      <c r="AF20" s="24">
        <v>448372.15</v>
      </c>
      <c r="AG20" s="5">
        <v>207956</v>
      </c>
      <c r="AH20" s="20">
        <v>1</v>
      </c>
    </row>
    <row r="21" spans="1:34">
      <c r="A21" s="1" t="s">
        <v>240</v>
      </c>
      <c r="B21" s="1" t="s">
        <v>241</v>
      </c>
      <c r="C21" s="1" t="s">
        <v>222</v>
      </c>
      <c r="D21" s="1" t="s">
        <v>159</v>
      </c>
      <c r="E21" s="1" t="s">
        <v>189</v>
      </c>
      <c r="F21" s="1" t="s">
        <v>146</v>
      </c>
      <c r="G21" s="1">
        <v>15</v>
      </c>
      <c r="H21" s="1">
        <v>147</v>
      </c>
      <c r="I21" s="1">
        <v>10</v>
      </c>
      <c r="J21" s="1">
        <v>1984.5</v>
      </c>
      <c r="K21" s="1" t="s">
        <v>49</v>
      </c>
      <c r="L21" s="1" t="str">
        <f t="shared" si="1"/>
        <v>May</v>
      </c>
      <c r="M21" s="2">
        <f>(H21-_xlfn.XLOOKUP(D21,Product_Master!A:A,Product_Master!D:D))*G21</f>
        <v>1290</v>
      </c>
      <c r="N21" s="13">
        <f t="shared" si="0"/>
        <v>0.6500377928949358</v>
      </c>
      <c r="O21" s="16">
        <f>G21/Inventory!$G$2</f>
        <v>0.26315789473684209</v>
      </c>
      <c r="P21" s="5">
        <v>896.74430000000018</v>
      </c>
      <c r="Q21"/>
      <c r="R21"/>
      <c r="S21"/>
      <c r="T21"/>
      <c r="U21" s="4" t="s">
        <v>179</v>
      </c>
      <c r="V21" s="17">
        <v>2.5789473684210522</v>
      </c>
      <c r="W21"/>
      <c r="X21" s="4" t="s">
        <v>195</v>
      </c>
      <c r="Y21" s="17">
        <v>1.1403508771929824</v>
      </c>
      <c r="Z21"/>
      <c r="AA21" s="4" t="s">
        <v>211</v>
      </c>
      <c r="AB21" s="19">
        <v>40442.900000000009</v>
      </c>
      <c r="AC21" s="19">
        <v>19651</v>
      </c>
      <c r="AE21"/>
      <c r="AF21"/>
      <c r="AG21"/>
    </row>
    <row r="22" spans="1:34">
      <c r="A22" s="1" t="s">
        <v>242</v>
      </c>
      <c r="B22" s="1" t="s">
        <v>243</v>
      </c>
      <c r="C22" s="1" t="s">
        <v>69</v>
      </c>
      <c r="D22" s="1" t="s">
        <v>155</v>
      </c>
      <c r="E22" s="1" t="s">
        <v>185</v>
      </c>
      <c r="F22" s="1" t="s">
        <v>7</v>
      </c>
      <c r="G22" s="1">
        <v>3</v>
      </c>
      <c r="H22" s="1">
        <v>156</v>
      </c>
      <c r="I22" s="1">
        <v>0</v>
      </c>
      <c r="J22" s="1">
        <v>468</v>
      </c>
      <c r="K22" s="1" t="s">
        <v>55</v>
      </c>
      <c r="L22" s="1" t="str">
        <f t="shared" si="1"/>
        <v>Jun</v>
      </c>
      <c r="M22" s="2">
        <f>(H22-_xlfn.XLOOKUP(D22,Product_Master!A:A,Product_Master!D:D))*G22</f>
        <v>189</v>
      </c>
      <c r="N22" s="13">
        <f t="shared" si="0"/>
        <v>0.40384615384615385</v>
      </c>
      <c r="O22" s="16">
        <f>G22/Inventory!$G$2</f>
        <v>5.2631578947368418E-2</v>
      </c>
      <c r="P22"/>
      <c r="Q22"/>
      <c r="R22"/>
      <c r="S22"/>
      <c r="T22"/>
      <c r="U22" s="4" t="s">
        <v>12</v>
      </c>
      <c r="V22" s="17">
        <v>2.5789473684210527</v>
      </c>
      <c r="W22"/>
      <c r="X22" s="4" t="s">
        <v>19</v>
      </c>
      <c r="Y22" s="17">
        <v>1.070175438596491</v>
      </c>
      <c r="Z22"/>
      <c r="AA22" s="4" t="s">
        <v>222</v>
      </c>
      <c r="AB22" s="19">
        <v>40351.950000000004</v>
      </c>
      <c r="AC22" s="19">
        <v>18321</v>
      </c>
      <c r="AE22"/>
      <c r="AF22"/>
      <c r="AG22"/>
    </row>
    <row r="23" spans="1:34">
      <c r="A23" s="1" t="s">
        <v>244</v>
      </c>
      <c r="B23" s="1" t="s">
        <v>73</v>
      </c>
      <c r="C23" s="1" t="s">
        <v>54</v>
      </c>
      <c r="D23" s="1" t="s">
        <v>172</v>
      </c>
      <c r="E23" s="1" t="s">
        <v>202</v>
      </c>
      <c r="F23" s="1" t="s">
        <v>17</v>
      </c>
      <c r="G23" s="1">
        <v>1</v>
      </c>
      <c r="H23" s="1">
        <v>199</v>
      </c>
      <c r="I23" s="1">
        <v>0</v>
      </c>
      <c r="J23" s="1">
        <v>199</v>
      </c>
      <c r="K23" s="1" t="s">
        <v>215</v>
      </c>
      <c r="L23" s="1" t="str">
        <f t="shared" si="1"/>
        <v>Apr</v>
      </c>
      <c r="M23" s="2">
        <f>(H23-_xlfn.XLOOKUP(D23,Product_Master!A:A,Product_Master!D:D))*G23</f>
        <v>93</v>
      </c>
      <c r="N23" s="13">
        <f t="shared" si="0"/>
        <v>0.46733668341708545</v>
      </c>
      <c r="O23" s="16">
        <f>G23/Inventory!$G$2</f>
        <v>1.7543859649122806E-2</v>
      </c>
      <c r="P23" t="s">
        <v>808</v>
      </c>
      <c r="Q23"/>
      <c r="R23"/>
      <c r="S23"/>
      <c r="T23"/>
      <c r="U23" s="4" t="s">
        <v>194</v>
      </c>
      <c r="V23" s="17">
        <v>2.6140350877192979</v>
      </c>
      <c r="W23"/>
      <c r="X23" s="4" t="s">
        <v>6</v>
      </c>
      <c r="Y23" s="17">
        <v>1.0350877192982455</v>
      </c>
      <c r="Z23"/>
      <c r="AA23" s="4" t="s">
        <v>57</v>
      </c>
      <c r="AB23" s="19">
        <v>37369.950000000012</v>
      </c>
      <c r="AC23" s="19">
        <v>17159</v>
      </c>
      <c r="AE23"/>
      <c r="AF23"/>
      <c r="AG23"/>
    </row>
    <row r="24" spans="1:34">
      <c r="A24" s="1" t="s">
        <v>245</v>
      </c>
      <c r="B24" s="1" t="s">
        <v>87</v>
      </c>
      <c r="C24" s="1" t="s">
        <v>57</v>
      </c>
      <c r="D24" s="1" t="s">
        <v>20</v>
      </c>
      <c r="E24" s="1" t="s">
        <v>21</v>
      </c>
      <c r="F24" s="1" t="s">
        <v>10</v>
      </c>
      <c r="G24" s="1">
        <v>7</v>
      </c>
      <c r="H24" s="1">
        <v>128</v>
      </c>
      <c r="I24" s="1">
        <v>0</v>
      </c>
      <c r="J24" s="1">
        <v>896</v>
      </c>
      <c r="K24" s="1" t="s">
        <v>46</v>
      </c>
      <c r="L24" s="1" t="str">
        <f t="shared" si="1"/>
        <v>Mar</v>
      </c>
      <c r="M24" s="2">
        <f>(H24-_xlfn.XLOOKUP(D24,Product_Master!A:A,Product_Master!D:D))*G24</f>
        <v>371</v>
      </c>
      <c r="N24" s="13">
        <f t="shared" si="0"/>
        <v>0.4140625</v>
      </c>
      <c r="O24" s="16">
        <f>G24/Inventory!$G$2</f>
        <v>0.12280701754385964</v>
      </c>
      <c r="P24" s="5">
        <v>1306080</v>
      </c>
      <c r="Q24"/>
      <c r="R24"/>
      <c r="S24"/>
      <c r="T24"/>
      <c r="U24" s="4" t="s">
        <v>185</v>
      </c>
      <c r="V24" s="17">
        <v>2.6842105263157894</v>
      </c>
      <c r="W24"/>
      <c r="X24" s="4" t="s">
        <v>16</v>
      </c>
      <c r="Y24" s="17">
        <v>0.73684210526315785</v>
      </c>
      <c r="Z24"/>
      <c r="AA24" s="4" t="s">
        <v>51</v>
      </c>
      <c r="AB24" s="19">
        <v>36876.350000000006</v>
      </c>
      <c r="AC24" s="19">
        <v>17444</v>
      </c>
      <c r="AE24"/>
      <c r="AF24"/>
      <c r="AG24"/>
    </row>
    <row r="25" spans="1:34">
      <c r="A25" s="1" t="s">
        <v>246</v>
      </c>
      <c r="B25" s="1" t="s">
        <v>90</v>
      </c>
      <c r="C25" s="1" t="s">
        <v>224</v>
      </c>
      <c r="D25" s="1" t="s">
        <v>149</v>
      </c>
      <c r="E25" s="1" t="s">
        <v>179</v>
      </c>
      <c r="F25" s="1" t="s">
        <v>17</v>
      </c>
      <c r="G25" s="1">
        <v>14</v>
      </c>
      <c r="H25" s="1">
        <v>98</v>
      </c>
      <c r="I25" s="1">
        <v>5</v>
      </c>
      <c r="J25" s="1">
        <v>1303.4000000000001</v>
      </c>
      <c r="K25" s="1" t="s">
        <v>55</v>
      </c>
      <c r="L25" s="1" t="str">
        <f>TEXT(B25,"mmm")</f>
        <v>Mar</v>
      </c>
      <c r="M25" s="2">
        <f>(H25-_xlfn.XLOOKUP(D25,Product_Master!A:A,Product_Master!D:D))*G25</f>
        <v>308</v>
      </c>
      <c r="N25" s="13">
        <f t="shared" si="0"/>
        <v>0.2363050483351235</v>
      </c>
      <c r="O25" s="16">
        <f>G25/Inventory!$G$2</f>
        <v>0.24561403508771928</v>
      </c>
      <c r="P25"/>
      <c r="Q25"/>
      <c r="R25"/>
      <c r="S25"/>
      <c r="T25"/>
      <c r="U25" s="4" t="s">
        <v>800</v>
      </c>
      <c r="V25" s="17">
        <v>12.754385964912279</v>
      </c>
      <c r="W25"/>
      <c r="X25" s="4" t="s">
        <v>800</v>
      </c>
      <c r="Y25" s="17">
        <v>5.1403508771929829</v>
      </c>
      <c r="Z25"/>
      <c r="AA25" s="4" t="s">
        <v>259</v>
      </c>
      <c r="AB25" s="19">
        <v>36205.950000000004</v>
      </c>
      <c r="AC25" s="19">
        <v>15802</v>
      </c>
      <c r="AE25"/>
      <c r="AF25"/>
      <c r="AG25"/>
    </row>
    <row r="26" spans="1:34">
      <c r="A26" s="1" t="s">
        <v>247</v>
      </c>
      <c r="B26" s="1" t="s">
        <v>135</v>
      </c>
      <c r="C26" s="1" t="s">
        <v>69</v>
      </c>
      <c r="D26" s="1" t="s">
        <v>149</v>
      </c>
      <c r="E26" s="1" t="s">
        <v>179</v>
      </c>
      <c r="F26" s="1" t="s">
        <v>17</v>
      </c>
      <c r="G26" s="1">
        <v>11</v>
      </c>
      <c r="H26" s="1">
        <v>98</v>
      </c>
      <c r="I26" s="1">
        <v>15</v>
      </c>
      <c r="J26" s="1">
        <v>916.3</v>
      </c>
      <c r="K26" s="1" t="s">
        <v>215</v>
      </c>
      <c r="L26" s="1" t="str">
        <f t="shared" si="1"/>
        <v>Feb</v>
      </c>
      <c r="M26" s="2">
        <f>(H26-_xlfn.XLOOKUP(D26,Product_Master!A:A,Product_Master!D:D))*G26</f>
        <v>242</v>
      </c>
      <c r="N26" s="13">
        <f t="shared" si="0"/>
        <v>0.26410564225690275</v>
      </c>
      <c r="O26" s="16">
        <f>G26/Inventory!$G$2</f>
        <v>0.19298245614035087</v>
      </c>
      <c r="P26" t="s">
        <v>811</v>
      </c>
      <c r="Q26"/>
      <c r="R26"/>
      <c r="S26"/>
      <c r="T26"/>
      <c r="U26"/>
      <c r="V26"/>
      <c r="W26"/>
      <c r="X26"/>
      <c r="Y26"/>
      <c r="Z26"/>
      <c r="AA26" s="4" t="s">
        <v>54</v>
      </c>
      <c r="AB26" s="19">
        <v>35636.000000000007</v>
      </c>
      <c r="AC26" s="19">
        <v>16179</v>
      </c>
      <c r="AE26"/>
      <c r="AF26"/>
      <c r="AG26"/>
    </row>
    <row r="27" spans="1:34">
      <c r="A27" s="1" t="s">
        <v>248</v>
      </c>
      <c r="B27" s="1" t="s">
        <v>249</v>
      </c>
      <c r="C27" s="1" t="s">
        <v>48</v>
      </c>
      <c r="D27" s="1" t="s">
        <v>26</v>
      </c>
      <c r="E27" s="1" t="s">
        <v>27</v>
      </c>
      <c r="F27" s="1" t="s">
        <v>147</v>
      </c>
      <c r="G27" s="1">
        <v>6</v>
      </c>
      <c r="H27" s="1">
        <v>160</v>
      </c>
      <c r="I27" s="1">
        <v>15</v>
      </c>
      <c r="J27" s="1">
        <v>816</v>
      </c>
      <c r="K27" s="1" t="s">
        <v>215</v>
      </c>
      <c r="L27" s="1" t="str">
        <f t="shared" si="1"/>
        <v>Jun</v>
      </c>
      <c r="M27" s="2">
        <f>(H27-_xlfn.XLOOKUP(D27,Product_Master!A:A,Product_Master!D:D))*G27</f>
        <v>396</v>
      </c>
      <c r="N27" s="13">
        <f t="shared" si="0"/>
        <v>0.48529411764705882</v>
      </c>
      <c r="O27" s="16">
        <f>G27/Inventory!$G$2</f>
        <v>0.10526315789473684</v>
      </c>
      <c r="P27" s="12">
        <v>179.77847185885082</v>
      </c>
      <c r="Q27"/>
      <c r="R27"/>
      <c r="S27"/>
      <c r="T27"/>
      <c r="U27"/>
      <c r="V27"/>
      <c r="W27"/>
      <c r="X27"/>
      <c r="Y27"/>
      <c r="Z27"/>
      <c r="AA27" s="4" t="s">
        <v>48</v>
      </c>
      <c r="AB27" s="19">
        <v>33594.949999999997</v>
      </c>
      <c r="AC27" s="19">
        <v>16137</v>
      </c>
      <c r="AE27"/>
      <c r="AF27"/>
      <c r="AG27"/>
    </row>
    <row r="28" spans="1:34">
      <c r="A28" s="1" t="s">
        <v>250</v>
      </c>
      <c r="B28" s="1" t="s">
        <v>251</v>
      </c>
      <c r="C28" s="1" t="s">
        <v>65</v>
      </c>
      <c r="D28" s="1" t="s">
        <v>162</v>
      </c>
      <c r="E28" s="1" t="s">
        <v>192</v>
      </c>
      <c r="F28" s="1" t="s">
        <v>146</v>
      </c>
      <c r="G28" s="1">
        <v>9</v>
      </c>
      <c r="H28" s="1">
        <v>168</v>
      </c>
      <c r="I28" s="1">
        <v>10</v>
      </c>
      <c r="J28" s="1">
        <v>1360.8</v>
      </c>
      <c r="K28" s="1" t="s">
        <v>76</v>
      </c>
      <c r="L28" s="1" t="str">
        <f t="shared" si="1"/>
        <v>May</v>
      </c>
      <c r="M28" s="2">
        <f>(H28-_xlfn.XLOOKUP(D28,Product_Master!A:A,Product_Master!D:D))*G28</f>
        <v>495</v>
      </c>
      <c r="N28" s="13">
        <f t="shared" si="0"/>
        <v>0.36375661375661378</v>
      </c>
      <c r="O28" s="16">
        <f>G28/Inventory!$G$2</f>
        <v>0.15789473684210525</v>
      </c>
      <c r="P28"/>
      <c r="Q28"/>
      <c r="R28"/>
      <c r="S28"/>
      <c r="T28"/>
      <c r="U28"/>
      <c r="V28"/>
      <c r="W28"/>
      <c r="X28"/>
      <c r="Y28"/>
      <c r="Z28"/>
      <c r="AA28" s="4" t="s">
        <v>72</v>
      </c>
      <c r="AB28" s="19">
        <v>33123.850000000006</v>
      </c>
      <c r="AC28" s="19">
        <v>15429</v>
      </c>
      <c r="AE28"/>
      <c r="AF28"/>
      <c r="AG28"/>
    </row>
    <row r="29" spans="1:34">
      <c r="A29" s="1" t="s">
        <v>252</v>
      </c>
      <c r="B29" s="1" t="s">
        <v>253</v>
      </c>
      <c r="C29" s="1" t="s">
        <v>222</v>
      </c>
      <c r="D29" s="1" t="s">
        <v>154</v>
      </c>
      <c r="E29" s="1" t="s">
        <v>184</v>
      </c>
      <c r="F29" s="1" t="s">
        <v>17</v>
      </c>
      <c r="G29" s="1">
        <v>3</v>
      </c>
      <c r="H29" s="1">
        <v>151</v>
      </c>
      <c r="I29" s="1">
        <v>0</v>
      </c>
      <c r="J29" s="1">
        <v>453</v>
      </c>
      <c r="K29" s="1" t="s">
        <v>46</v>
      </c>
      <c r="L29" s="1" t="str">
        <f t="shared" si="1"/>
        <v>Mar</v>
      </c>
      <c r="M29" s="2">
        <f>(H29-_xlfn.XLOOKUP(D29,Product_Master!A:A,Product_Master!D:D))*G29</f>
        <v>159</v>
      </c>
      <c r="N29" s="13">
        <f t="shared" si="0"/>
        <v>0.35099337748344372</v>
      </c>
      <c r="O29" s="16">
        <f>G29/Inventory!$G$2</f>
        <v>5.2631578947368418E-2</v>
      </c>
      <c r="P29"/>
      <c r="Q29"/>
      <c r="R29"/>
      <c r="S29"/>
      <c r="T29"/>
      <c r="U29"/>
      <c r="V29"/>
      <c r="W29"/>
      <c r="X29"/>
      <c r="Y29"/>
      <c r="Z29"/>
      <c r="AA29" s="4" t="s">
        <v>800</v>
      </c>
      <c r="AB29" s="19">
        <v>391387.4</v>
      </c>
      <c r="AC29" s="19">
        <v>180426</v>
      </c>
      <c r="AE29"/>
      <c r="AF29"/>
      <c r="AG29"/>
    </row>
    <row r="30" spans="1:34">
      <c r="A30" s="1" t="s">
        <v>254</v>
      </c>
      <c r="B30" s="1" t="s">
        <v>74</v>
      </c>
      <c r="C30" s="1" t="s">
        <v>51</v>
      </c>
      <c r="D30" s="1" t="s">
        <v>163</v>
      </c>
      <c r="E30" s="1" t="s">
        <v>193</v>
      </c>
      <c r="F30" s="1" t="s">
        <v>146</v>
      </c>
      <c r="G30" s="1">
        <v>2</v>
      </c>
      <c r="H30" s="1">
        <v>82</v>
      </c>
      <c r="I30" s="1">
        <v>5</v>
      </c>
      <c r="J30" s="1">
        <v>155.80000000000001</v>
      </c>
      <c r="K30" s="1" t="s">
        <v>215</v>
      </c>
      <c r="L30" s="1" t="str">
        <f t="shared" si="1"/>
        <v>Feb</v>
      </c>
      <c r="M30" s="2">
        <f>(H30-_xlfn.XLOOKUP(D30,Product_Master!A:A,Product_Master!D:D))*G30</f>
        <v>80</v>
      </c>
      <c r="N30" s="13">
        <f t="shared" si="0"/>
        <v>0.51347881899871628</v>
      </c>
      <c r="O30" s="16">
        <f>G30/Inventory!$G$2</f>
        <v>3.5087719298245612E-2</v>
      </c>
      <c r="P30"/>
      <c r="Q30"/>
      <c r="R30" s="15" t="s">
        <v>799</v>
      </c>
      <c r="S30" s="15" t="s">
        <v>818</v>
      </c>
      <c r="T30"/>
      <c r="U30"/>
      <c r="V30"/>
      <c r="W30"/>
      <c r="X30"/>
      <c r="Y30"/>
      <c r="Z30"/>
      <c r="AA30"/>
      <c r="AB30"/>
      <c r="AC30"/>
      <c r="AE30"/>
      <c r="AF30"/>
      <c r="AG30"/>
    </row>
    <row r="31" spans="1:34">
      <c r="A31" s="1" t="s">
        <v>255</v>
      </c>
      <c r="B31" s="1" t="s">
        <v>128</v>
      </c>
      <c r="C31" s="1" t="s">
        <v>57</v>
      </c>
      <c r="D31" s="1" t="s">
        <v>5</v>
      </c>
      <c r="E31" s="1" t="s">
        <v>6</v>
      </c>
      <c r="F31" s="1" t="s">
        <v>7</v>
      </c>
      <c r="G31" s="1">
        <v>10</v>
      </c>
      <c r="H31" s="1">
        <v>74</v>
      </c>
      <c r="I31" s="1">
        <v>0</v>
      </c>
      <c r="J31" s="1">
        <v>740</v>
      </c>
      <c r="K31" s="1" t="s">
        <v>55</v>
      </c>
      <c r="L31" s="1" t="str">
        <f t="shared" si="1"/>
        <v>Mar</v>
      </c>
      <c r="M31" s="2">
        <f>(H31-_xlfn.XLOOKUP(D31,Product_Master!A:A,Product_Master!D:D))*G31</f>
        <v>280</v>
      </c>
      <c r="N31" s="13">
        <f t="shared" si="0"/>
        <v>0.3783783783783784</v>
      </c>
      <c r="O31" s="16">
        <f>G31/Inventory!$G$2</f>
        <v>0.17543859649122806</v>
      </c>
      <c r="P31"/>
      <c r="Q31"/>
      <c r="R31" s="4" t="s">
        <v>812</v>
      </c>
      <c r="S31">
        <v>88968.650000000009</v>
      </c>
      <c r="U31"/>
      <c r="V31"/>
      <c r="W31"/>
      <c r="X31"/>
      <c r="Y31"/>
      <c r="Z31"/>
      <c r="AA31"/>
      <c r="AB31"/>
      <c r="AC31"/>
    </row>
    <row r="32" spans="1:34">
      <c r="A32" s="1" t="s">
        <v>256</v>
      </c>
      <c r="B32" s="1" t="s">
        <v>144</v>
      </c>
      <c r="C32" s="1" t="s">
        <v>69</v>
      </c>
      <c r="D32" s="1" t="s">
        <v>155</v>
      </c>
      <c r="E32" s="1" t="s">
        <v>185</v>
      </c>
      <c r="F32" s="1" t="s">
        <v>7</v>
      </c>
      <c r="G32" s="1">
        <v>4</v>
      </c>
      <c r="H32" s="1">
        <v>156</v>
      </c>
      <c r="I32" s="1">
        <v>5</v>
      </c>
      <c r="J32" s="1">
        <v>592.79999999999995</v>
      </c>
      <c r="K32" s="1" t="s">
        <v>215</v>
      </c>
      <c r="L32" s="1" t="str">
        <f t="shared" si="1"/>
        <v>Apr</v>
      </c>
      <c r="M32" s="2">
        <f>(H32-_xlfn.XLOOKUP(D32,Product_Master!A:A,Product_Master!D:D))*G32</f>
        <v>252</v>
      </c>
      <c r="N32" s="13">
        <f t="shared" si="0"/>
        <v>0.4251012145748988</v>
      </c>
      <c r="O32" s="16">
        <f>G32/Inventory!$G$2</f>
        <v>7.0175438596491224E-2</v>
      </c>
      <c r="P32"/>
      <c r="Q32"/>
      <c r="R32" s="4" t="s">
        <v>813</v>
      </c>
      <c r="S32">
        <v>62529.05</v>
      </c>
      <c r="U32"/>
      <c r="V32"/>
      <c r="W32"/>
      <c r="X32"/>
      <c r="Y32"/>
      <c r="Z32"/>
      <c r="AA32"/>
      <c r="AB32"/>
      <c r="AC32"/>
    </row>
    <row r="33" spans="1:29">
      <c r="A33" s="1" t="s">
        <v>257</v>
      </c>
      <c r="B33" s="1" t="s">
        <v>139</v>
      </c>
      <c r="C33" s="1" t="s">
        <v>51</v>
      </c>
      <c r="D33" s="1" t="s">
        <v>13</v>
      </c>
      <c r="E33" s="1" t="s">
        <v>14</v>
      </c>
      <c r="F33" s="1" t="s">
        <v>147</v>
      </c>
      <c r="G33" s="1">
        <v>4</v>
      </c>
      <c r="H33" s="1">
        <v>99</v>
      </c>
      <c r="I33" s="1">
        <v>10</v>
      </c>
      <c r="J33" s="1">
        <v>356.4</v>
      </c>
      <c r="K33" s="1" t="s">
        <v>55</v>
      </c>
      <c r="L33" s="1" t="str">
        <f t="shared" si="1"/>
        <v>Mar</v>
      </c>
      <c r="M33" s="2">
        <f>(H33-_xlfn.XLOOKUP(D33,Product_Master!A:A,Product_Master!D:D))*G33</f>
        <v>96</v>
      </c>
      <c r="N33" s="13">
        <f t="shared" si="0"/>
        <v>0.26936026936026936</v>
      </c>
      <c r="O33" s="16">
        <f>G33/Inventory!$G$2</f>
        <v>7.0175438596491224E-2</v>
      </c>
      <c r="P33"/>
      <c r="Q33"/>
      <c r="R33" s="4" t="s">
        <v>814</v>
      </c>
      <c r="S33">
        <v>83526.349999999991</v>
      </c>
      <c r="U33"/>
      <c r="V33"/>
      <c r="W33"/>
      <c r="X33"/>
      <c r="Y33"/>
      <c r="Z33"/>
      <c r="AA33"/>
      <c r="AB33"/>
      <c r="AC33"/>
    </row>
    <row r="34" spans="1:29">
      <c r="A34" s="1" t="s">
        <v>258</v>
      </c>
      <c r="B34" s="1" t="s">
        <v>239</v>
      </c>
      <c r="C34" s="1" t="s">
        <v>259</v>
      </c>
      <c r="D34" s="1" t="s">
        <v>22</v>
      </c>
      <c r="E34" s="1" t="s">
        <v>23</v>
      </c>
      <c r="F34" s="1" t="s">
        <v>10</v>
      </c>
      <c r="G34" s="1">
        <v>6</v>
      </c>
      <c r="H34" s="1">
        <v>76</v>
      </c>
      <c r="I34" s="1">
        <v>15</v>
      </c>
      <c r="J34" s="1">
        <v>387.6</v>
      </c>
      <c r="K34" s="1" t="s">
        <v>49</v>
      </c>
      <c r="L34" s="1" t="str">
        <f t="shared" si="1"/>
        <v>May</v>
      </c>
      <c r="M34" s="2">
        <f>(H34-_xlfn.XLOOKUP(D34,Product_Master!A:A,Product_Master!D:D))*G34</f>
        <v>180</v>
      </c>
      <c r="N34" s="13">
        <f t="shared" si="0"/>
        <v>0.46439628482972134</v>
      </c>
      <c r="O34" s="16">
        <f>G34/Inventory!$G$2</f>
        <v>0.10526315789473684</v>
      </c>
      <c r="P34"/>
      <c r="Q34"/>
      <c r="R34" s="4" t="s">
        <v>815</v>
      </c>
      <c r="S34">
        <v>81735.700000000012</v>
      </c>
      <c r="U34"/>
      <c r="V34"/>
      <c r="W34"/>
      <c r="X34"/>
      <c r="Y34"/>
      <c r="Z34"/>
      <c r="AA34"/>
      <c r="AB34"/>
      <c r="AC34"/>
    </row>
    <row r="35" spans="1:29">
      <c r="A35" s="1" t="s">
        <v>260</v>
      </c>
      <c r="B35" s="1" t="s">
        <v>213</v>
      </c>
      <c r="C35" s="1" t="s">
        <v>211</v>
      </c>
      <c r="D35" s="1" t="s">
        <v>176</v>
      </c>
      <c r="E35" s="1" t="s">
        <v>206</v>
      </c>
      <c r="F35" s="1" t="s">
        <v>146</v>
      </c>
      <c r="G35" s="1">
        <v>4</v>
      </c>
      <c r="H35" s="1">
        <v>181</v>
      </c>
      <c r="I35" s="1">
        <v>5</v>
      </c>
      <c r="J35" s="1">
        <v>687.8</v>
      </c>
      <c r="K35" s="1" t="s">
        <v>55</v>
      </c>
      <c r="L35" s="1" t="str">
        <f t="shared" si="1"/>
        <v>Apr</v>
      </c>
      <c r="M35" s="2">
        <f>(H35-_xlfn.XLOOKUP(D35,Product_Master!A:A,Product_Master!D:D))*G35</f>
        <v>252</v>
      </c>
      <c r="N35" s="13">
        <f t="shared" si="0"/>
        <v>0.36638557720267523</v>
      </c>
      <c r="O35" s="16">
        <f>G35/Inventory!$G$2</f>
        <v>7.0175438596491224E-2</v>
      </c>
      <c r="P35"/>
      <c r="Q35"/>
      <c r="R35" s="4" t="s">
        <v>816</v>
      </c>
      <c r="S35">
        <v>66014.35000000002</v>
      </c>
      <c r="U35"/>
      <c r="V35"/>
      <c r="W35"/>
      <c r="X35"/>
      <c r="Y35"/>
      <c r="Z35"/>
      <c r="AA35"/>
      <c r="AB35"/>
      <c r="AC35"/>
    </row>
    <row r="36" spans="1:29">
      <c r="A36" s="1" t="s">
        <v>261</v>
      </c>
      <c r="B36" s="1" t="s">
        <v>262</v>
      </c>
      <c r="C36" s="1" t="s">
        <v>45</v>
      </c>
      <c r="D36" s="1" t="s">
        <v>13</v>
      </c>
      <c r="E36" s="1" t="s">
        <v>14</v>
      </c>
      <c r="F36" s="1" t="s">
        <v>147</v>
      </c>
      <c r="G36" s="1">
        <v>13</v>
      </c>
      <c r="H36" s="1">
        <v>99</v>
      </c>
      <c r="I36" s="1">
        <v>15</v>
      </c>
      <c r="J36" s="1">
        <v>1093.95</v>
      </c>
      <c r="K36" s="1" t="s">
        <v>235</v>
      </c>
      <c r="L36" s="1" t="str">
        <f t="shared" si="1"/>
        <v>Jan</v>
      </c>
      <c r="M36" s="2">
        <f>(H36-_xlfn.XLOOKUP(D36,Product_Master!A:A,Product_Master!D:D))*G36</f>
        <v>312</v>
      </c>
      <c r="N36" s="13">
        <f t="shared" si="0"/>
        <v>0.28520499108734404</v>
      </c>
      <c r="O36" s="16">
        <f>G36/Inventory!$G$2</f>
        <v>0.22807017543859648</v>
      </c>
      <c r="P36"/>
      <c r="Q36"/>
      <c r="R36" s="4" t="s">
        <v>817</v>
      </c>
      <c r="S36">
        <v>65598.049999999988</v>
      </c>
      <c r="U36"/>
      <c r="V36"/>
      <c r="W36"/>
      <c r="X36"/>
      <c r="Y36"/>
      <c r="Z36"/>
      <c r="AA36"/>
      <c r="AB36"/>
      <c r="AC36"/>
    </row>
    <row r="37" spans="1:29">
      <c r="A37" s="1" t="s">
        <v>263</v>
      </c>
      <c r="B37" s="1" t="s">
        <v>264</v>
      </c>
      <c r="C37" s="1" t="s">
        <v>72</v>
      </c>
      <c r="D37" s="1" t="s">
        <v>24</v>
      </c>
      <c r="E37" s="1" t="s">
        <v>25</v>
      </c>
      <c r="F37" s="1" t="s">
        <v>146</v>
      </c>
      <c r="G37" s="1">
        <v>15</v>
      </c>
      <c r="H37" s="1">
        <v>96</v>
      </c>
      <c r="I37" s="1">
        <v>5</v>
      </c>
      <c r="J37" s="1">
        <v>1368</v>
      </c>
      <c r="K37" s="1" t="s">
        <v>46</v>
      </c>
      <c r="L37" s="1" t="str">
        <f t="shared" si="1"/>
        <v>Feb</v>
      </c>
      <c r="M37" s="2">
        <f>(H37-_xlfn.XLOOKUP(D37,Product_Master!A:A,Product_Master!D:D))*G37</f>
        <v>360</v>
      </c>
      <c r="N37" s="13">
        <f t="shared" si="0"/>
        <v>0.26315789473684209</v>
      </c>
      <c r="O37" s="16">
        <f>G37/Inventory!$G$2</f>
        <v>0.26315789473684209</v>
      </c>
      <c r="P37"/>
      <c r="Q37"/>
      <c r="R37" s="22" t="s">
        <v>800</v>
      </c>
      <c r="S37" s="23">
        <v>448372.15</v>
      </c>
      <c r="U37"/>
      <c r="V37"/>
      <c r="X37"/>
      <c r="Y37"/>
      <c r="AA37"/>
      <c r="AB37"/>
      <c r="AC37"/>
    </row>
    <row r="38" spans="1:29">
      <c r="A38" s="1" t="s">
        <v>265</v>
      </c>
      <c r="B38" s="1" t="s">
        <v>266</v>
      </c>
      <c r="C38" s="1" t="s">
        <v>51</v>
      </c>
      <c r="D38" s="1" t="s">
        <v>169</v>
      </c>
      <c r="E38" s="1" t="s">
        <v>199</v>
      </c>
      <c r="F38" s="1" t="s">
        <v>10</v>
      </c>
      <c r="G38" s="1">
        <v>6</v>
      </c>
      <c r="H38" s="1">
        <v>130</v>
      </c>
      <c r="I38" s="1">
        <v>5</v>
      </c>
      <c r="J38" s="1">
        <v>741</v>
      </c>
      <c r="K38" s="1" t="s">
        <v>76</v>
      </c>
      <c r="L38" s="1" t="str">
        <f>TEXT(B38,"mmm")</f>
        <v>May</v>
      </c>
      <c r="M38" s="2">
        <f>(H38-_xlfn.XLOOKUP(D38,Product_Master!A:A,Product_Master!D:D))*G38</f>
        <v>270</v>
      </c>
      <c r="N38" s="13">
        <f t="shared" si="0"/>
        <v>0.36437246963562753</v>
      </c>
      <c r="O38" s="16">
        <f>G38/Inventory!$G$2</f>
        <v>0.10526315789473684</v>
      </c>
      <c r="P38"/>
      <c r="Q38"/>
      <c r="R38"/>
      <c r="U38"/>
      <c r="V38"/>
      <c r="X38"/>
      <c r="Y38"/>
      <c r="AA38"/>
      <c r="AB38"/>
      <c r="AC38"/>
    </row>
    <row r="39" spans="1:29">
      <c r="A39" s="1" t="s">
        <v>267</v>
      </c>
      <c r="B39" s="1" t="s">
        <v>87</v>
      </c>
      <c r="C39" s="1" t="s">
        <v>57</v>
      </c>
      <c r="D39" s="1" t="s">
        <v>148</v>
      </c>
      <c r="E39" s="1" t="s">
        <v>178</v>
      </c>
      <c r="F39" s="1" t="s">
        <v>147</v>
      </c>
      <c r="G39" s="1">
        <v>6</v>
      </c>
      <c r="H39" s="1">
        <v>90</v>
      </c>
      <c r="I39" s="1">
        <v>15</v>
      </c>
      <c r="J39" s="1">
        <v>459</v>
      </c>
      <c r="K39" s="1" t="s">
        <v>215</v>
      </c>
      <c r="L39" s="1" t="str">
        <f t="shared" si="1"/>
        <v>Mar</v>
      </c>
      <c r="M39" s="2">
        <f>(H39-_xlfn.XLOOKUP(D39,Product_Master!A:A,Product_Master!D:D))*G39</f>
        <v>186</v>
      </c>
      <c r="N39" s="13">
        <f t="shared" si="0"/>
        <v>0.40522875816993464</v>
      </c>
      <c r="O39" s="16">
        <f>G39/Inventory!$G$2</f>
        <v>0.10526315789473684</v>
      </c>
      <c r="P39"/>
      <c r="Q39"/>
      <c r="R39"/>
      <c r="U39"/>
      <c r="V39"/>
      <c r="X39"/>
      <c r="Y39"/>
      <c r="AA39"/>
      <c r="AB39"/>
      <c r="AC39"/>
    </row>
    <row r="40" spans="1:29">
      <c r="A40" s="1" t="s">
        <v>268</v>
      </c>
      <c r="B40" s="1" t="s">
        <v>97</v>
      </c>
      <c r="C40" s="1" t="s">
        <v>224</v>
      </c>
      <c r="D40" s="1" t="s">
        <v>18</v>
      </c>
      <c r="E40" s="1" t="s">
        <v>19</v>
      </c>
      <c r="F40" s="1" t="s">
        <v>146</v>
      </c>
      <c r="G40" s="1">
        <v>8</v>
      </c>
      <c r="H40" s="1">
        <v>140</v>
      </c>
      <c r="I40" s="1">
        <v>10</v>
      </c>
      <c r="J40" s="1">
        <v>1008</v>
      </c>
      <c r="K40" s="1" t="s">
        <v>76</v>
      </c>
      <c r="L40" s="1" t="str">
        <f t="shared" si="1"/>
        <v>Mar</v>
      </c>
      <c r="M40" s="2">
        <f>(H40-_xlfn.XLOOKUP(D40,Product_Master!A:A,Product_Master!D:D))*G40</f>
        <v>784</v>
      </c>
      <c r="N40" s="13">
        <f t="shared" si="0"/>
        <v>0.77777777777777779</v>
      </c>
      <c r="O40" s="16">
        <f>G40/Inventory!$G$2</f>
        <v>0.14035087719298245</v>
      </c>
      <c r="P40"/>
      <c r="Q40"/>
      <c r="R40"/>
      <c r="U40"/>
      <c r="V40"/>
      <c r="X40"/>
      <c r="Y40"/>
      <c r="AA40"/>
      <c r="AB40"/>
      <c r="AC40"/>
    </row>
    <row r="41" spans="1:29">
      <c r="A41" s="1" t="s">
        <v>269</v>
      </c>
      <c r="B41" s="1" t="s">
        <v>270</v>
      </c>
      <c r="C41" s="1" t="s">
        <v>65</v>
      </c>
      <c r="D41" s="1" t="s">
        <v>5</v>
      </c>
      <c r="E41" s="1" t="s">
        <v>6</v>
      </c>
      <c r="F41" s="1" t="s">
        <v>7</v>
      </c>
      <c r="G41" s="1">
        <v>4</v>
      </c>
      <c r="H41" s="1">
        <v>74</v>
      </c>
      <c r="I41" s="1">
        <v>15</v>
      </c>
      <c r="J41" s="1">
        <v>251.6</v>
      </c>
      <c r="K41" s="1" t="s">
        <v>235</v>
      </c>
      <c r="L41" s="1" t="str">
        <f t="shared" si="1"/>
        <v>May</v>
      </c>
      <c r="M41" s="2">
        <f>(H41-_xlfn.XLOOKUP(D41,Product_Master!A:A,Product_Master!D:D))*G41</f>
        <v>112</v>
      </c>
      <c r="N41" s="13">
        <f t="shared" si="0"/>
        <v>0.4451510333863275</v>
      </c>
      <c r="O41" s="16">
        <f>G41/Inventory!$G$2</f>
        <v>7.0175438596491224E-2</v>
      </c>
      <c r="P41"/>
      <c r="Q41"/>
      <c r="R41"/>
      <c r="U41"/>
      <c r="V41"/>
      <c r="X41"/>
      <c r="Y41"/>
      <c r="AA41"/>
      <c r="AB41"/>
      <c r="AC41"/>
    </row>
    <row r="42" spans="1:29">
      <c r="A42" s="1" t="s">
        <v>271</v>
      </c>
      <c r="B42" s="1" t="s">
        <v>102</v>
      </c>
      <c r="C42" s="1" t="s">
        <v>211</v>
      </c>
      <c r="D42" s="1" t="s">
        <v>164</v>
      </c>
      <c r="E42" s="1" t="s">
        <v>194</v>
      </c>
      <c r="F42" s="1" t="s">
        <v>147</v>
      </c>
      <c r="G42" s="1">
        <v>9</v>
      </c>
      <c r="H42" s="1">
        <v>135</v>
      </c>
      <c r="I42" s="1">
        <v>0</v>
      </c>
      <c r="J42" s="1">
        <v>1215</v>
      </c>
      <c r="K42" s="1" t="s">
        <v>49</v>
      </c>
      <c r="L42" s="1" t="str">
        <f t="shared" si="1"/>
        <v>Apr</v>
      </c>
      <c r="M42" s="2">
        <f>(H42-_xlfn.XLOOKUP(D42,Product_Master!A:A,Product_Master!D:D))*G42</f>
        <v>387</v>
      </c>
      <c r="N42" s="13">
        <f t="shared" si="0"/>
        <v>0.31851851851851853</v>
      </c>
      <c r="O42" s="16">
        <f>G42/Inventory!$G$2</f>
        <v>0.15789473684210525</v>
      </c>
      <c r="P42"/>
      <c r="Q42"/>
      <c r="R42"/>
      <c r="U42"/>
      <c r="V42"/>
      <c r="X42"/>
      <c r="Y42"/>
      <c r="AA42"/>
      <c r="AB42"/>
      <c r="AC42"/>
    </row>
    <row r="43" spans="1:29">
      <c r="A43" s="1" t="s">
        <v>272</v>
      </c>
      <c r="B43" s="1" t="s">
        <v>115</v>
      </c>
      <c r="C43" s="1" t="s">
        <v>51</v>
      </c>
      <c r="D43" s="1" t="s">
        <v>170</v>
      </c>
      <c r="E43" s="1" t="s">
        <v>200</v>
      </c>
      <c r="F43" s="1" t="s">
        <v>17</v>
      </c>
      <c r="G43" s="1">
        <v>7</v>
      </c>
      <c r="H43" s="1">
        <v>52</v>
      </c>
      <c r="I43" s="1">
        <v>10</v>
      </c>
      <c r="J43" s="1">
        <v>327.60000000000002</v>
      </c>
      <c r="K43" s="1" t="s">
        <v>49</v>
      </c>
      <c r="L43" s="1" t="str">
        <f t="shared" si="1"/>
        <v>Feb</v>
      </c>
      <c r="M43" s="2">
        <f>(H43-_xlfn.XLOOKUP(D43,Product_Master!A:A,Product_Master!D:D))*G43</f>
        <v>273</v>
      </c>
      <c r="N43" s="13">
        <f t="shared" si="0"/>
        <v>0.83333333333333326</v>
      </c>
      <c r="O43" s="16">
        <f>G43/Inventory!$G$2</f>
        <v>0.12280701754385964</v>
      </c>
      <c r="P43"/>
      <c r="Q43"/>
      <c r="R43"/>
      <c r="U43"/>
      <c r="V43"/>
      <c r="X43"/>
      <c r="Y43"/>
      <c r="AA43"/>
      <c r="AB43"/>
      <c r="AC43"/>
    </row>
    <row r="44" spans="1:29">
      <c r="A44" s="1" t="s">
        <v>273</v>
      </c>
      <c r="B44" s="1" t="s">
        <v>274</v>
      </c>
      <c r="C44" s="1" t="s">
        <v>45</v>
      </c>
      <c r="D44" s="1" t="s">
        <v>20</v>
      </c>
      <c r="E44" s="1" t="s">
        <v>21</v>
      </c>
      <c r="F44" s="1" t="s">
        <v>10</v>
      </c>
      <c r="G44" s="1">
        <v>9</v>
      </c>
      <c r="H44" s="1">
        <v>128</v>
      </c>
      <c r="I44" s="1">
        <v>15</v>
      </c>
      <c r="J44" s="1">
        <v>979.2</v>
      </c>
      <c r="K44" s="1" t="s">
        <v>55</v>
      </c>
      <c r="L44" s="1" t="str">
        <f t="shared" si="1"/>
        <v>May</v>
      </c>
      <c r="M44" s="2">
        <f>(H44-_xlfn.XLOOKUP(D44,Product_Master!A:A,Product_Master!D:D))*G44</f>
        <v>477</v>
      </c>
      <c r="N44" s="13">
        <f t="shared" si="0"/>
        <v>0.48713235294117646</v>
      </c>
      <c r="O44" s="16">
        <f>G44/Inventory!$G$2</f>
        <v>0.15789473684210525</v>
      </c>
      <c r="P44"/>
      <c r="U44"/>
      <c r="V44"/>
      <c r="X44"/>
      <c r="Y44"/>
      <c r="AA44"/>
      <c r="AB44"/>
      <c r="AC44"/>
    </row>
    <row r="45" spans="1:29">
      <c r="A45" s="1" t="s">
        <v>275</v>
      </c>
      <c r="B45" s="1" t="s">
        <v>50</v>
      </c>
      <c r="C45" s="1" t="s">
        <v>65</v>
      </c>
      <c r="D45" s="1" t="s">
        <v>13</v>
      </c>
      <c r="E45" s="1" t="s">
        <v>14</v>
      </c>
      <c r="F45" s="1" t="s">
        <v>147</v>
      </c>
      <c r="G45" s="1">
        <v>10</v>
      </c>
      <c r="H45" s="1">
        <v>99</v>
      </c>
      <c r="I45" s="1">
        <v>15</v>
      </c>
      <c r="J45" s="1">
        <v>841.5</v>
      </c>
      <c r="K45" s="1" t="s">
        <v>49</v>
      </c>
      <c r="L45" s="1" t="str">
        <f t="shared" si="1"/>
        <v>Apr</v>
      </c>
      <c r="M45" s="2">
        <f>(H45-_xlfn.XLOOKUP(D45,Product_Master!A:A,Product_Master!D:D))*G45</f>
        <v>240</v>
      </c>
      <c r="N45" s="13">
        <f t="shared" si="0"/>
        <v>0.28520499108734404</v>
      </c>
      <c r="O45" s="16">
        <f>G45/Inventory!$G$2</f>
        <v>0.17543859649122806</v>
      </c>
      <c r="P45"/>
      <c r="U45"/>
      <c r="V45"/>
      <c r="X45"/>
      <c r="Y45"/>
      <c r="AA45"/>
      <c r="AB45"/>
      <c r="AC45"/>
    </row>
    <row r="46" spans="1:29">
      <c r="A46" s="1" t="s">
        <v>276</v>
      </c>
      <c r="B46" s="1" t="s">
        <v>132</v>
      </c>
      <c r="C46" s="1" t="s">
        <v>259</v>
      </c>
      <c r="D46" s="1" t="s">
        <v>150</v>
      </c>
      <c r="E46" s="1" t="s">
        <v>180</v>
      </c>
      <c r="F46" s="1" t="s">
        <v>17</v>
      </c>
      <c r="G46" s="1">
        <v>4</v>
      </c>
      <c r="H46" s="1">
        <v>143</v>
      </c>
      <c r="I46" s="1">
        <v>0</v>
      </c>
      <c r="J46" s="1">
        <v>572</v>
      </c>
      <c r="K46" s="1" t="s">
        <v>76</v>
      </c>
      <c r="L46" s="1" t="str">
        <f t="shared" si="1"/>
        <v>Mar</v>
      </c>
      <c r="M46" s="2">
        <f>(H46-_xlfn.XLOOKUP(D46,Product_Master!A:A,Product_Master!D:D))*G46</f>
        <v>168</v>
      </c>
      <c r="N46" s="13">
        <f t="shared" si="0"/>
        <v>0.2937062937062937</v>
      </c>
      <c r="O46" s="16">
        <f>G46/Inventory!$G$2</f>
        <v>7.0175438596491224E-2</v>
      </c>
      <c r="P46"/>
      <c r="U46"/>
      <c r="V46"/>
      <c r="X46"/>
      <c r="Y46"/>
      <c r="AA46"/>
      <c r="AB46"/>
      <c r="AC46"/>
    </row>
    <row r="47" spans="1:29">
      <c r="A47" s="1" t="s">
        <v>277</v>
      </c>
      <c r="B47" s="1" t="s">
        <v>53</v>
      </c>
      <c r="C47" s="1" t="s">
        <v>54</v>
      </c>
      <c r="D47" s="1" t="s">
        <v>153</v>
      </c>
      <c r="E47" s="1" t="s">
        <v>183</v>
      </c>
      <c r="F47" s="1" t="s">
        <v>17</v>
      </c>
      <c r="G47" s="1">
        <v>5</v>
      </c>
      <c r="H47" s="1">
        <v>89</v>
      </c>
      <c r="I47" s="1">
        <v>15</v>
      </c>
      <c r="J47" s="1">
        <v>378.25</v>
      </c>
      <c r="K47" s="1" t="s">
        <v>46</v>
      </c>
      <c r="L47" s="1" t="str">
        <f t="shared" si="1"/>
        <v>Mar</v>
      </c>
      <c r="M47" s="2">
        <f>(H47-_xlfn.XLOOKUP(D47,Product_Master!A:A,Product_Master!D:D))*G47</f>
        <v>325</v>
      </c>
      <c r="N47" s="13">
        <f t="shared" si="0"/>
        <v>0.85922009253139453</v>
      </c>
      <c r="O47" s="16">
        <f>G47/Inventory!$G$2</f>
        <v>8.771929824561403E-2</v>
      </c>
      <c r="P47"/>
      <c r="U47"/>
      <c r="V47"/>
      <c r="X47"/>
      <c r="Y47"/>
      <c r="AA47"/>
      <c r="AB47"/>
      <c r="AC47"/>
    </row>
    <row r="48" spans="1:29">
      <c r="A48" s="1" t="s">
        <v>278</v>
      </c>
      <c r="B48" s="1" t="s">
        <v>100</v>
      </c>
      <c r="C48" s="1" t="s">
        <v>57</v>
      </c>
      <c r="D48" s="1" t="s">
        <v>177</v>
      </c>
      <c r="E48" s="1" t="s">
        <v>207</v>
      </c>
      <c r="F48" s="1" t="s">
        <v>146</v>
      </c>
      <c r="G48" s="1">
        <v>9</v>
      </c>
      <c r="H48" s="1">
        <v>145</v>
      </c>
      <c r="I48" s="1">
        <v>15</v>
      </c>
      <c r="J48" s="1">
        <v>1109.25</v>
      </c>
      <c r="K48" s="1" t="s">
        <v>76</v>
      </c>
      <c r="L48" s="1" t="str">
        <f t="shared" si="1"/>
        <v>Feb</v>
      </c>
      <c r="M48" s="2">
        <f>(H48-_xlfn.XLOOKUP(D48,Product_Master!A:A,Product_Master!D:D))*G48</f>
        <v>738</v>
      </c>
      <c r="N48" s="13">
        <f t="shared" si="0"/>
        <v>0.66531440162271804</v>
      </c>
      <c r="O48" s="16">
        <f>G48/Inventory!$G$2</f>
        <v>0.15789473684210525</v>
      </c>
      <c r="P48"/>
      <c r="U48"/>
      <c r="V48"/>
      <c r="X48"/>
      <c r="Y48"/>
      <c r="AA48"/>
      <c r="AB48"/>
      <c r="AC48"/>
    </row>
    <row r="49" spans="1:29">
      <c r="A49" s="1" t="s">
        <v>279</v>
      </c>
      <c r="B49" s="1" t="s">
        <v>233</v>
      </c>
      <c r="C49" s="1" t="s">
        <v>57</v>
      </c>
      <c r="D49" s="1" t="s">
        <v>158</v>
      </c>
      <c r="E49" s="1" t="s">
        <v>188</v>
      </c>
      <c r="F49" s="1" t="s">
        <v>10</v>
      </c>
      <c r="G49" s="1">
        <v>9</v>
      </c>
      <c r="H49" s="1">
        <v>65</v>
      </c>
      <c r="I49" s="1">
        <v>10</v>
      </c>
      <c r="J49" s="1">
        <v>526.5</v>
      </c>
      <c r="K49" s="1" t="s">
        <v>55</v>
      </c>
      <c r="L49" s="1" t="str">
        <f t="shared" si="1"/>
        <v>Jun</v>
      </c>
      <c r="M49" s="2">
        <f>(H49-_xlfn.XLOOKUP(D49,Product_Master!A:A,Product_Master!D:D))*G49</f>
        <v>198</v>
      </c>
      <c r="N49" s="13">
        <f t="shared" si="0"/>
        <v>0.37606837606837606</v>
      </c>
      <c r="O49" s="16">
        <f>G49/Inventory!$G$2</f>
        <v>0.15789473684210525</v>
      </c>
      <c r="P49"/>
      <c r="U49"/>
      <c r="V49"/>
      <c r="X49"/>
      <c r="Y49"/>
      <c r="AA49"/>
      <c r="AB49"/>
      <c r="AC49"/>
    </row>
    <row r="50" spans="1:29">
      <c r="A50" s="1" t="s">
        <v>280</v>
      </c>
      <c r="B50" s="1" t="s">
        <v>281</v>
      </c>
      <c r="C50" s="1" t="s">
        <v>54</v>
      </c>
      <c r="D50" s="1" t="s">
        <v>11</v>
      </c>
      <c r="E50" s="1" t="s">
        <v>12</v>
      </c>
      <c r="F50" s="1" t="s">
        <v>147</v>
      </c>
      <c r="G50" s="1">
        <v>14</v>
      </c>
      <c r="H50" s="1">
        <v>86</v>
      </c>
      <c r="I50" s="1">
        <v>0</v>
      </c>
      <c r="J50" s="1">
        <v>1204</v>
      </c>
      <c r="K50" s="1" t="s">
        <v>76</v>
      </c>
      <c r="L50" s="1" t="str">
        <f t="shared" si="1"/>
        <v>Jun</v>
      </c>
      <c r="M50" s="2">
        <f>(H50-_xlfn.XLOOKUP(D50,Product_Master!A:A,Product_Master!D:D))*G50</f>
        <v>280</v>
      </c>
      <c r="N50" s="13">
        <f t="shared" si="0"/>
        <v>0.23255813953488372</v>
      </c>
      <c r="O50" s="16">
        <f>G50/Inventory!$G$2</f>
        <v>0.24561403508771928</v>
      </c>
      <c r="P50"/>
      <c r="U50"/>
      <c r="V50"/>
      <c r="X50"/>
      <c r="Y50"/>
      <c r="AA50"/>
      <c r="AB50"/>
      <c r="AC50"/>
    </row>
    <row r="51" spans="1:29">
      <c r="A51" s="1" t="s">
        <v>282</v>
      </c>
      <c r="B51" s="1" t="s">
        <v>283</v>
      </c>
      <c r="C51" s="1" t="s">
        <v>51</v>
      </c>
      <c r="D51" s="1" t="s">
        <v>160</v>
      </c>
      <c r="E51" s="1" t="s">
        <v>190</v>
      </c>
      <c r="F51" s="1" t="s">
        <v>7</v>
      </c>
      <c r="G51" s="1">
        <v>3</v>
      </c>
      <c r="H51" s="1">
        <v>37</v>
      </c>
      <c r="I51" s="1">
        <v>5</v>
      </c>
      <c r="J51" s="1">
        <v>105.45</v>
      </c>
      <c r="K51" s="1" t="s">
        <v>76</v>
      </c>
      <c r="L51" s="1" t="str">
        <f t="shared" si="1"/>
        <v>Jun</v>
      </c>
      <c r="M51" s="2">
        <f>(H51-_xlfn.XLOOKUP(D51,Product_Master!A:A,Product_Master!D:D))*G51</f>
        <v>78</v>
      </c>
      <c r="N51" s="13">
        <f t="shared" si="0"/>
        <v>0.73968705547652913</v>
      </c>
      <c r="O51" s="16">
        <f>G51/Inventory!$G$2</f>
        <v>5.2631578947368418E-2</v>
      </c>
      <c r="P51"/>
      <c r="U51"/>
      <c r="V51"/>
      <c r="X51"/>
      <c r="Y51"/>
      <c r="AA51"/>
      <c r="AB51"/>
      <c r="AC51"/>
    </row>
    <row r="52" spans="1:29">
      <c r="A52" s="1" t="s">
        <v>284</v>
      </c>
      <c r="B52" s="1" t="s">
        <v>249</v>
      </c>
      <c r="C52" s="1" t="s">
        <v>57</v>
      </c>
      <c r="D52" s="1" t="s">
        <v>8</v>
      </c>
      <c r="E52" s="1" t="s">
        <v>9</v>
      </c>
      <c r="F52" s="1" t="s">
        <v>10</v>
      </c>
      <c r="G52" s="1">
        <v>9</v>
      </c>
      <c r="H52" s="1">
        <v>146</v>
      </c>
      <c r="I52" s="1">
        <v>0</v>
      </c>
      <c r="J52" s="1">
        <v>1314</v>
      </c>
      <c r="K52" s="1" t="s">
        <v>49</v>
      </c>
      <c r="L52" s="1" t="str">
        <f t="shared" si="1"/>
        <v>Jun</v>
      </c>
      <c r="M52" s="2">
        <f>(H52-_xlfn.XLOOKUP(D52,Product_Master!A:A,Product_Master!D:D))*G52</f>
        <v>450</v>
      </c>
      <c r="N52" s="13">
        <f t="shared" si="0"/>
        <v>0.34246575342465752</v>
      </c>
      <c r="O52" s="16">
        <f>G52/Inventory!$G$2</f>
        <v>0.15789473684210525</v>
      </c>
      <c r="P52"/>
      <c r="U52"/>
      <c r="V52"/>
      <c r="X52"/>
      <c r="Y52"/>
      <c r="AA52"/>
      <c r="AB52"/>
      <c r="AC52"/>
    </row>
    <row r="53" spans="1:29">
      <c r="A53" s="1" t="s">
        <v>285</v>
      </c>
      <c r="B53" s="1" t="s">
        <v>286</v>
      </c>
      <c r="C53" s="1" t="s">
        <v>65</v>
      </c>
      <c r="D53" s="1" t="s">
        <v>164</v>
      </c>
      <c r="E53" s="1" t="s">
        <v>194</v>
      </c>
      <c r="F53" s="1" t="s">
        <v>147</v>
      </c>
      <c r="G53" s="1">
        <v>6</v>
      </c>
      <c r="H53" s="1">
        <v>135</v>
      </c>
      <c r="I53" s="1">
        <v>5</v>
      </c>
      <c r="J53" s="1">
        <v>769.5</v>
      </c>
      <c r="K53" s="1" t="s">
        <v>76</v>
      </c>
      <c r="L53" s="1" t="str">
        <f t="shared" si="1"/>
        <v>Jun</v>
      </c>
      <c r="M53" s="2">
        <f>(H53-_xlfn.XLOOKUP(D53,Product_Master!A:A,Product_Master!D:D))*G53</f>
        <v>258</v>
      </c>
      <c r="N53" s="13">
        <f t="shared" si="0"/>
        <v>0.33528265107212474</v>
      </c>
      <c r="O53" s="16">
        <f>G53/Inventory!$G$2</f>
        <v>0.10526315789473684</v>
      </c>
      <c r="P53"/>
      <c r="U53"/>
      <c r="V53"/>
      <c r="X53"/>
      <c r="Y53"/>
      <c r="AA53"/>
      <c r="AB53"/>
      <c r="AC53"/>
    </row>
    <row r="54" spans="1:29">
      <c r="A54" s="1" t="s">
        <v>287</v>
      </c>
      <c r="B54" s="1" t="s">
        <v>79</v>
      </c>
      <c r="C54" s="1" t="s">
        <v>65</v>
      </c>
      <c r="D54" s="1" t="s">
        <v>176</v>
      </c>
      <c r="E54" s="1" t="s">
        <v>206</v>
      </c>
      <c r="F54" s="1" t="s">
        <v>146</v>
      </c>
      <c r="G54" s="1">
        <v>12</v>
      </c>
      <c r="H54" s="1">
        <v>181</v>
      </c>
      <c r="I54" s="1">
        <v>0</v>
      </c>
      <c r="J54" s="1">
        <v>2172</v>
      </c>
      <c r="K54" s="1" t="s">
        <v>49</v>
      </c>
      <c r="L54" s="1" t="str">
        <f t="shared" si="1"/>
        <v>Mar</v>
      </c>
      <c r="M54" s="2">
        <f>(H54-_xlfn.XLOOKUP(D54,Product_Master!A:A,Product_Master!D:D))*G54</f>
        <v>756</v>
      </c>
      <c r="N54" s="13">
        <f t="shared" si="0"/>
        <v>0.34806629834254144</v>
      </c>
      <c r="O54" s="16">
        <f>G54/Inventory!$G$2</f>
        <v>0.21052631578947367</v>
      </c>
      <c r="P54"/>
      <c r="U54"/>
      <c r="V54"/>
      <c r="X54"/>
      <c r="Y54"/>
      <c r="AA54"/>
      <c r="AB54"/>
      <c r="AC54"/>
    </row>
    <row r="55" spans="1:29">
      <c r="A55" s="1" t="s">
        <v>288</v>
      </c>
      <c r="B55" s="1" t="s">
        <v>74</v>
      </c>
      <c r="C55" s="1" t="s">
        <v>69</v>
      </c>
      <c r="D55" s="1" t="s">
        <v>148</v>
      </c>
      <c r="E55" s="1" t="s">
        <v>178</v>
      </c>
      <c r="F55" s="1" t="s">
        <v>147</v>
      </c>
      <c r="G55" s="1">
        <v>15</v>
      </c>
      <c r="H55" s="1">
        <v>90</v>
      </c>
      <c r="I55" s="1">
        <v>15</v>
      </c>
      <c r="J55" s="1">
        <v>1147.5</v>
      </c>
      <c r="K55" s="1" t="s">
        <v>49</v>
      </c>
      <c r="L55" s="1" t="str">
        <f t="shared" si="1"/>
        <v>Feb</v>
      </c>
      <c r="M55" s="2">
        <f>(H55-_xlfn.XLOOKUP(D55,Product_Master!A:A,Product_Master!D:D))*G55</f>
        <v>465</v>
      </c>
      <c r="N55" s="13">
        <f t="shared" si="0"/>
        <v>0.40522875816993464</v>
      </c>
      <c r="O55" s="16">
        <f>G55/Inventory!$G$2</f>
        <v>0.26315789473684209</v>
      </c>
      <c r="P55"/>
      <c r="U55"/>
      <c r="V55"/>
      <c r="X55"/>
      <c r="Y55"/>
      <c r="AA55"/>
      <c r="AB55"/>
      <c r="AC55"/>
    </row>
    <row r="56" spans="1:29">
      <c r="A56" s="1" t="s">
        <v>289</v>
      </c>
      <c r="B56" s="1" t="s">
        <v>141</v>
      </c>
      <c r="C56" s="1" t="s">
        <v>51</v>
      </c>
      <c r="D56" s="1" t="s">
        <v>173</v>
      </c>
      <c r="E56" s="1" t="s">
        <v>203</v>
      </c>
      <c r="F56" s="1" t="s">
        <v>17</v>
      </c>
      <c r="G56" s="1">
        <v>14</v>
      </c>
      <c r="H56" s="1">
        <v>139</v>
      </c>
      <c r="I56" s="1">
        <v>5</v>
      </c>
      <c r="J56" s="1">
        <v>1848.7</v>
      </c>
      <c r="K56" s="1" t="s">
        <v>76</v>
      </c>
      <c r="L56" s="1" t="str">
        <f t="shared" si="1"/>
        <v>Apr</v>
      </c>
      <c r="M56" s="2">
        <f>(H56-_xlfn.XLOOKUP(D56,Product_Master!A:A,Product_Master!D:D))*G56</f>
        <v>980</v>
      </c>
      <c r="N56" s="13">
        <f t="shared" si="0"/>
        <v>0.53010223400227185</v>
      </c>
      <c r="O56" s="16">
        <f>G56/Inventory!$G$2</f>
        <v>0.24561403508771928</v>
      </c>
      <c r="P56"/>
      <c r="U56"/>
      <c r="V56"/>
      <c r="X56"/>
      <c r="Y56"/>
      <c r="AA56"/>
      <c r="AB56"/>
      <c r="AC56"/>
    </row>
    <row r="57" spans="1:29">
      <c r="A57" s="1" t="s">
        <v>290</v>
      </c>
      <c r="B57" s="1" t="s">
        <v>66</v>
      </c>
      <c r="C57" s="1" t="s">
        <v>69</v>
      </c>
      <c r="D57" s="1" t="s">
        <v>174</v>
      </c>
      <c r="E57" s="1" t="s">
        <v>204</v>
      </c>
      <c r="F57" s="1" t="s">
        <v>7</v>
      </c>
      <c r="G57" s="1">
        <v>7</v>
      </c>
      <c r="H57" s="1">
        <v>160</v>
      </c>
      <c r="I57" s="1">
        <v>15</v>
      </c>
      <c r="J57" s="1">
        <v>952</v>
      </c>
      <c r="K57" s="1" t="s">
        <v>215</v>
      </c>
      <c r="L57" s="1" t="str">
        <f>TEXT(B57,"mmm")</f>
        <v>Apr</v>
      </c>
      <c r="M57" s="2">
        <f>(H57-_xlfn.XLOOKUP(D57,Product_Master!A:A,Product_Master!D:D))*G57</f>
        <v>385</v>
      </c>
      <c r="N57" s="13">
        <f t="shared" si="0"/>
        <v>0.40441176470588236</v>
      </c>
      <c r="O57" s="16">
        <f>G57/Inventory!$G$2</f>
        <v>0.12280701754385964</v>
      </c>
      <c r="P57"/>
      <c r="U57"/>
      <c r="V57"/>
      <c r="X57"/>
      <c r="Y57"/>
      <c r="AA57"/>
      <c r="AB57"/>
      <c r="AC57"/>
    </row>
    <row r="58" spans="1:29">
      <c r="A58" s="1" t="s">
        <v>291</v>
      </c>
      <c r="B58" s="1" t="s">
        <v>77</v>
      </c>
      <c r="C58" s="1" t="s">
        <v>72</v>
      </c>
      <c r="D58" s="1" t="s">
        <v>15</v>
      </c>
      <c r="E58" s="1" t="s">
        <v>16</v>
      </c>
      <c r="F58" s="1" t="s">
        <v>10</v>
      </c>
      <c r="G58" s="1">
        <v>8</v>
      </c>
      <c r="H58" s="1">
        <v>98</v>
      </c>
      <c r="I58" s="1">
        <v>10</v>
      </c>
      <c r="J58" s="1">
        <v>705.6</v>
      </c>
      <c r="K58" s="1" t="s">
        <v>49</v>
      </c>
      <c r="L58" s="1" t="str">
        <f t="shared" si="1"/>
        <v>Jan</v>
      </c>
      <c r="M58" s="2">
        <f>(H58-_xlfn.XLOOKUP(D58,Product_Master!A:A,Product_Master!D:D))*G58</f>
        <v>464</v>
      </c>
      <c r="N58" s="13">
        <f t="shared" si="0"/>
        <v>0.65759637188208619</v>
      </c>
      <c r="O58" s="16">
        <f>G58/Inventory!$G$2</f>
        <v>0.14035087719298245</v>
      </c>
      <c r="P58"/>
      <c r="U58"/>
      <c r="V58"/>
      <c r="X58"/>
      <c r="Y58"/>
      <c r="AA58"/>
      <c r="AB58"/>
      <c r="AC58"/>
    </row>
    <row r="59" spans="1:29">
      <c r="A59" s="1" t="s">
        <v>292</v>
      </c>
      <c r="B59" s="1" t="s">
        <v>293</v>
      </c>
      <c r="C59" s="1" t="s">
        <v>51</v>
      </c>
      <c r="D59" s="1" t="s">
        <v>24</v>
      </c>
      <c r="E59" s="1" t="s">
        <v>25</v>
      </c>
      <c r="F59" s="1" t="s">
        <v>146</v>
      </c>
      <c r="G59" s="1">
        <v>2</v>
      </c>
      <c r="H59" s="1">
        <v>96</v>
      </c>
      <c r="I59" s="1">
        <v>5</v>
      </c>
      <c r="J59" s="1">
        <v>182.4</v>
      </c>
      <c r="K59" s="1" t="s">
        <v>49</v>
      </c>
      <c r="L59" s="1" t="str">
        <f t="shared" si="1"/>
        <v>Mar</v>
      </c>
      <c r="M59" s="2">
        <f>(H59-_xlfn.XLOOKUP(D59,Product_Master!A:A,Product_Master!D:D))*G59</f>
        <v>48</v>
      </c>
      <c r="N59" s="13">
        <f t="shared" si="0"/>
        <v>0.26315789473684209</v>
      </c>
      <c r="O59" s="16">
        <f>G59/Inventory!$G$2</f>
        <v>3.5087719298245612E-2</v>
      </c>
      <c r="P59"/>
      <c r="U59"/>
      <c r="V59"/>
      <c r="X59"/>
      <c r="Y59"/>
      <c r="AA59"/>
      <c r="AB59"/>
      <c r="AC59"/>
    </row>
    <row r="60" spans="1:29">
      <c r="A60" s="1" t="s">
        <v>294</v>
      </c>
      <c r="B60" s="1" t="s">
        <v>117</v>
      </c>
      <c r="C60" s="1" t="s">
        <v>224</v>
      </c>
      <c r="D60" s="1" t="s">
        <v>158</v>
      </c>
      <c r="E60" s="1" t="s">
        <v>188</v>
      </c>
      <c r="F60" s="1" t="s">
        <v>10</v>
      </c>
      <c r="G60" s="1">
        <v>2</v>
      </c>
      <c r="H60" s="1">
        <v>65</v>
      </c>
      <c r="I60" s="1">
        <v>15</v>
      </c>
      <c r="J60" s="1">
        <v>110.5</v>
      </c>
      <c r="K60" s="1" t="s">
        <v>49</v>
      </c>
      <c r="L60" s="1" t="str">
        <f t="shared" si="1"/>
        <v>Apr</v>
      </c>
      <c r="M60" s="2">
        <f>(H60-_xlfn.XLOOKUP(D60,Product_Master!A:A,Product_Master!D:D))*G60</f>
        <v>44</v>
      </c>
      <c r="N60" s="13">
        <f t="shared" si="0"/>
        <v>0.39819004524886875</v>
      </c>
      <c r="O60" s="16">
        <f>G60/Inventory!$G$2</f>
        <v>3.5087719298245612E-2</v>
      </c>
      <c r="P60"/>
      <c r="U60"/>
      <c r="V60"/>
      <c r="X60"/>
      <c r="Y60"/>
      <c r="AA60"/>
      <c r="AB60"/>
      <c r="AC60"/>
    </row>
    <row r="61" spans="1:29">
      <c r="A61" s="1" t="s">
        <v>295</v>
      </c>
      <c r="B61" s="1" t="s">
        <v>87</v>
      </c>
      <c r="C61" s="1" t="s">
        <v>69</v>
      </c>
      <c r="D61" s="1" t="s">
        <v>167</v>
      </c>
      <c r="E61" s="1" t="s">
        <v>197</v>
      </c>
      <c r="F61" s="1" t="s">
        <v>17</v>
      </c>
      <c r="G61" s="1">
        <v>1</v>
      </c>
      <c r="H61" s="1">
        <v>135</v>
      </c>
      <c r="I61" s="1">
        <v>10</v>
      </c>
      <c r="J61" s="1">
        <v>121.5</v>
      </c>
      <c r="K61" s="1" t="s">
        <v>235</v>
      </c>
      <c r="L61" s="1" t="str">
        <f t="shared" si="1"/>
        <v>Mar</v>
      </c>
      <c r="M61" s="2">
        <f>(H61-_xlfn.XLOOKUP(D61,Product_Master!A:A,Product_Master!D:D))*G61</f>
        <v>80</v>
      </c>
      <c r="N61" s="13">
        <f t="shared" si="0"/>
        <v>0.65843621399176955</v>
      </c>
      <c r="O61" s="16">
        <f>G61/Inventory!$G$2</f>
        <v>1.7543859649122806E-2</v>
      </c>
      <c r="P61"/>
      <c r="AA61"/>
      <c r="AB61"/>
      <c r="AC61"/>
    </row>
    <row r="62" spans="1:29">
      <c r="A62" s="1" t="s">
        <v>296</v>
      </c>
      <c r="B62" s="1" t="s">
        <v>270</v>
      </c>
      <c r="C62" s="1" t="s">
        <v>54</v>
      </c>
      <c r="D62" s="1" t="s">
        <v>152</v>
      </c>
      <c r="E62" s="1" t="s">
        <v>182</v>
      </c>
      <c r="F62" s="1" t="s">
        <v>146</v>
      </c>
      <c r="G62" s="1">
        <v>7</v>
      </c>
      <c r="H62" s="1">
        <v>158</v>
      </c>
      <c r="I62" s="1">
        <v>0</v>
      </c>
      <c r="J62" s="1">
        <v>1106</v>
      </c>
      <c r="K62" s="1" t="s">
        <v>55</v>
      </c>
      <c r="L62" s="1" t="str">
        <f t="shared" si="1"/>
        <v>May</v>
      </c>
      <c r="M62" s="2">
        <f>(H62-_xlfn.XLOOKUP(D62,Product_Master!A:A,Product_Master!D:D))*G62</f>
        <v>665</v>
      </c>
      <c r="N62" s="13">
        <f t="shared" si="0"/>
        <v>0.60126582278481011</v>
      </c>
      <c r="O62" s="16">
        <f>G62/Inventory!$G$2</f>
        <v>0.12280701754385964</v>
      </c>
      <c r="P62"/>
      <c r="AA62"/>
      <c r="AB62"/>
      <c r="AC62"/>
    </row>
    <row r="63" spans="1:29">
      <c r="A63" s="1" t="s">
        <v>297</v>
      </c>
      <c r="B63" s="1" t="s">
        <v>298</v>
      </c>
      <c r="C63" s="1" t="s">
        <v>211</v>
      </c>
      <c r="D63" s="1" t="s">
        <v>24</v>
      </c>
      <c r="E63" s="1" t="s">
        <v>25</v>
      </c>
      <c r="F63" s="1" t="s">
        <v>146</v>
      </c>
      <c r="G63" s="1">
        <v>12</v>
      </c>
      <c r="H63" s="1">
        <v>96</v>
      </c>
      <c r="I63" s="1">
        <v>0</v>
      </c>
      <c r="J63" s="1">
        <v>1152</v>
      </c>
      <c r="K63" s="1" t="s">
        <v>215</v>
      </c>
      <c r="L63" s="1" t="str">
        <f t="shared" si="1"/>
        <v>Jun</v>
      </c>
      <c r="M63" s="2">
        <f>(H63-_xlfn.XLOOKUP(D63,Product_Master!A:A,Product_Master!D:D))*G63</f>
        <v>288</v>
      </c>
      <c r="N63" s="13">
        <f t="shared" si="0"/>
        <v>0.25</v>
      </c>
      <c r="O63" s="16">
        <f>G63/Inventory!$G$2</f>
        <v>0.21052631578947367</v>
      </c>
      <c r="P63"/>
      <c r="AA63"/>
      <c r="AB63"/>
      <c r="AC63"/>
    </row>
    <row r="64" spans="1:29">
      <c r="A64" s="1" t="s">
        <v>299</v>
      </c>
      <c r="B64" s="1" t="s">
        <v>82</v>
      </c>
      <c r="C64" s="1" t="s">
        <v>51</v>
      </c>
      <c r="D64" s="1" t="s">
        <v>154</v>
      </c>
      <c r="E64" s="1" t="s">
        <v>184</v>
      </c>
      <c r="F64" s="1" t="s">
        <v>17</v>
      </c>
      <c r="G64" s="1">
        <v>14</v>
      </c>
      <c r="H64" s="1">
        <v>151</v>
      </c>
      <c r="I64" s="1">
        <v>0</v>
      </c>
      <c r="J64" s="1">
        <v>2114</v>
      </c>
      <c r="K64" s="1" t="s">
        <v>235</v>
      </c>
      <c r="L64" s="1" t="str">
        <f t="shared" si="1"/>
        <v>Jan</v>
      </c>
      <c r="M64" s="2">
        <f>(H64-_xlfn.XLOOKUP(D64,Product_Master!A:A,Product_Master!D:D))*G64</f>
        <v>742</v>
      </c>
      <c r="N64" s="13">
        <f t="shared" si="0"/>
        <v>0.35099337748344372</v>
      </c>
      <c r="O64" s="16">
        <f>G64/Inventory!$G$2</f>
        <v>0.24561403508771928</v>
      </c>
      <c r="P64"/>
      <c r="AA64"/>
      <c r="AB64"/>
      <c r="AC64"/>
    </row>
    <row r="65" spans="1:29">
      <c r="A65" s="1" t="s">
        <v>300</v>
      </c>
      <c r="B65" s="1" t="s">
        <v>133</v>
      </c>
      <c r="C65" s="1" t="s">
        <v>57</v>
      </c>
      <c r="D65" s="1" t="s">
        <v>169</v>
      </c>
      <c r="E65" s="1" t="s">
        <v>199</v>
      </c>
      <c r="F65" s="1" t="s">
        <v>10</v>
      </c>
      <c r="G65" s="1">
        <v>4</v>
      </c>
      <c r="H65" s="1">
        <v>130</v>
      </c>
      <c r="I65" s="1">
        <v>0</v>
      </c>
      <c r="J65" s="1">
        <v>520</v>
      </c>
      <c r="K65" s="1" t="s">
        <v>235</v>
      </c>
      <c r="L65" s="1" t="str">
        <f t="shared" si="1"/>
        <v>Jan</v>
      </c>
      <c r="M65" s="2">
        <f>(H65-_xlfn.XLOOKUP(D65,Product_Master!A:A,Product_Master!D:D))*G65</f>
        <v>180</v>
      </c>
      <c r="N65" s="13">
        <f t="shared" si="0"/>
        <v>0.34615384615384615</v>
      </c>
      <c r="O65" s="16">
        <f>G65/Inventory!$G$2</f>
        <v>7.0175438596491224E-2</v>
      </c>
      <c r="P65"/>
      <c r="AA65"/>
      <c r="AB65"/>
      <c r="AC65"/>
    </row>
    <row r="66" spans="1:29">
      <c r="A66" s="1" t="s">
        <v>301</v>
      </c>
      <c r="B66" s="1" t="s">
        <v>302</v>
      </c>
      <c r="C66" s="1" t="s">
        <v>72</v>
      </c>
      <c r="D66" s="1" t="s">
        <v>168</v>
      </c>
      <c r="E66" s="1" t="s">
        <v>198</v>
      </c>
      <c r="F66" s="1" t="s">
        <v>17</v>
      </c>
      <c r="G66" s="1">
        <v>7</v>
      </c>
      <c r="H66" s="1">
        <v>119</v>
      </c>
      <c r="I66" s="1">
        <v>0</v>
      </c>
      <c r="J66" s="1">
        <v>833</v>
      </c>
      <c r="K66" s="1" t="s">
        <v>46</v>
      </c>
      <c r="L66" s="1" t="str">
        <f t="shared" si="1"/>
        <v>Jan</v>
      </c>
      <c r="M66" s="2">
        <f>(H66-_xlfn.XLOOKUP(D66,Product_Master!A:A,Product_Master!D:D))*G66</f>
        <v>329</v>
      </c>
      <c r="N66" s="13">
        <f t="shared" si="0"/>
        <v>0.3949579831932773</v>
      </c>
      <c r="O66" s="16">
        <f>G66/Inventory!$G$2</f>
        <v>0.12280701754385964</v>
      </c>
      <c r="P66"/>
      <c r="AA66"/>
      <c r="AB66"/>
      <c r="AC66"/>
    </row>
    <row r="67" spans="1:29">
      <c r="A67" s="1" t="s">
        <v>303</v>
      </c>
      <c r="B67" s="1" t="s">
        <v>109</v>
      </c>
      <c r="C67" s="1" t="s">
        <v>69</v>
      </c>
      <c r="D67" s="1" t="s">
        <v>167</v>
      </c>
      <c r="E67" s="1" t="s">
        <v>197</v>
      </c>
      <c r="F67" s="1" t="s">
        <v>17</v>
      </c>
      <c r="G67" s="1">
        <v>2</v>
      </c>
      <c r="H67" s="1">
        <v>135</v>
      </c>
      <c r="I67" s="1">
        <v>15</v>
      </c>
      <c r="J67" s="1">
        <v>229.5</v>
      </c>
      <c r="K67" s="1" t="s">
        <v>76</v>
      </c>
      <c r="L67" s="1" t="str">
        <f t="shared" si="1"/>
        <v>Jan</v>
      </c>
      <c r="M67" s="2">
        <f>(H67-_xlfn.XLOOKUP(D67,Product_Master!A:A,Product_Master!D:D))*G67</f>
        <v>160</v>
      </c>
      <c r="N67" s="13">
        <f t="shared" ref="N67:N130" si="2">M67/J67</f>
        <v>0.69716775599128544</v>
      </c>
      <c r="O67" s="16">
        <f>G67/Inventory!$G$2</f>
        <v>3.5087719298245612E-2</v>
      </c>
      <c r="P67"/>
      <c r="AA67"/>
      <c r="AB67"/>
      <c r="AC67"/>
    </row>
    <row r="68" spans="1:29">
      <c r="A68" s="1" t="s">
        <v>304</v>
      </c>
      <c r="B68" s="1" t="s">
        <v>305</v>
      </c>
      <c r="C68" s="1" t="s">
        <v>69</v>
      </c>
      <c r="D68" s="1" t="s">
        <v>18</v>
      </c>
      <c r="E68" s="1" t="s">
        <v>19</v>
      </c>
      <c r="F68" s="1" t="s">
        <v>146</v>
      </c>
      <c r="G68" s="1">
        <v>7</v>
      </c>
      <c r="H68" s="1">
        <v>140</v>
      </c>
      <c r="I68" s="1">
        <v>0</v>
      </c>
      <c r="J68" s="1">
        <v>980</v>
      </c>
      <c r="K68" s="1" t="s">
        <v>235</v>
      </c>
      <c r="L68" s="1" t="str">
        <f t="shared" ref="L68:L131" si="3">TEXT(B68,"mmm")</f>
        <v>Feb</v>
      </c>
      <c r="M68" s="2">
        <f>(H68-_xlfn.XLOOKUP(D68,Product_Master!A:A,Product_Master!D:D))*G68</f>
        <v>686</v>
      </c>
      <c r="N68" s="13">
        <f t="shared" si="2"/>
        <v>0.7</v>
      </c>
      <c r="O68" s="16">
        <f>G68/Inventory!$G$2</f>
        <v>0.12280701754385964</v>
      </c>
      <c r="P68"/>
      <c r="AA68"/>
      <c r="AB68"/>
      <c r="AC68"/>
    </row>
    <row r="69" spans="1:29">
      <c r="A69" s="1" t="s">
        <v>306</v>
      </c>
      <c r="B69" s="1" t="s">
        <v>125</v>
      </c>
      <c r="C69" s="1" t="s">
        <v>224</v>
      </c>
      <c r="D69" s="1" t="s">
        <v>172</v>
      </c>
      <c r="E69" s="1" t="s">
        <v>202</v>
      </c>
      <c r="F69" s="1" t="s">
        <v>17</v>
      </c>
      <c r="G69" s="1">
        <v>4</v>
      </c>
      <c r="H69" s="1">
        <v>199</v>
      </c>
      <c r="I69" s="1">
        <v>15</v>
      </c>
      <c r="J69" s="1">
        <v>676.6</v>
      </c>
      <c r="K69" s="1" t="s">
        <v>76</v>
      </c>
      <c r="L69" s="1" t="str">
        <f t="shared" si="3"/>
        <v>Apr</v>
      </c>
      <c r="M69" s="2">
        <f>(H69-_xlfn.XLOOKUP(D69,Product_Master!A:A,Product_Master!D:D))*G69</f>
        <v>372</v>
      </c>
      <c r="N69" s="13">
        <f t="shared" si="2"/>
        <v>0.54980786284362992</v>
      </c>
      <c r="O69" s="16">
        <f>G69/Inventory!$G$2</f>
        <v>7.0175438596491224E-2</v>
      </c>
      <c r="P69"/>
      <c r="AA69"/>
      <c r="AB69"/>
      <c r="AC69"/>
    </row>
    <row r="70" spans="1:29">
      <c r="A70" s="1" t="s">
        <v>307</v>
      </c>
      <c r="B70" s="1" t="s">
        <v>112</v>
      </c>
      <c r="C70" s="1" t="s">
        <v>259</v>
      </c>
      <c r="D70" s="1" t="s">
        <v>153</v>
      </c>
      <c r="E70" s="1" t="s">
        <v>183</v>
      </c>
      <c r="F70" s="1" t="s">
        <v>17</v>
      </c>
      <c r="G70" s="1">
        <v>13</v>
      </c>
      <c r="H70" s="1">
        <v>89</v>
      </c>
      <c r="I70" s="1">
        <v>5</v>
      </c>
      <c r="J70" s="1">
        <v>1099.1500000000001</v>
      </c>
      <c r="K70" s="1" t="s">
        <v>235</v>
      </c>
      <c r="L70" s="1" t="str">
        <f t="shared" si="3"/>
        <v>Apr</v>
      </c>
      <c r="M70" s="2">
        <f>(H70-_xlfn.XLOOKUP(D70,Product_Master!A:A,Product_Master!D:D))*G70</f>
        <v>845</v>
      </c>
      <c r="N70" s="13">
        <f t="shared" si="2"/>
        <v>0.76877587226493194</v>
      </c>
      <c r="O70" s="16">
        <f>G70/Inventory!$G$2</f>
        <v>0.22807017543859648</v>
      </c>
      <c r="P70"/>
      <c r="AA70"/>
      <c r="AB70"/>
      <c r="AC70"/>
    </row>
    <row r="71" spans="1:29">
      <c r="A71" s="1" t="s">
        <v>308</v>
      </c>
      <c r="B71" s="1" t="s">
        <v>241</v>
      </c>
      <c r="C71" s="1" t="s">
        <v>211</v>
      </c>
      <c r="D71" s="1" t="s">
        <v>22</v>
      </c>
      <c r="E71" s="1" t="s">
        <v>23</v>
      </c>
      <c r="F71" s="1" t="s">
        <v>10</v>
      </c>
      <c r="G71" s="1">
        <v>13</v>
      </c>
      <c r="H71" s="1">
        <v>76</v>
      </c>
      <c r="I71" s="1">
        <v>15</v>
      </c>
      <c r="J71" s="1">
        <v>839.8</v>
      </c>
      <c r="K71" s="1" t="s">
        <v>215</v>
      </c>
      <c r="L71" s="1" t="str">
        <f t="shared" si="3"/>
        <v>May</v>
      </c>
      <c r="M71" s="2">
        <f>(H71-_xlfn.XLOOKUP(D71,Product_Master!A:A,Product_Master!D:D))*G71</f>
        <v>390</v>
      </c>
      <c r="N71" s="13">
        <f t="shared" si="2"/>
        <v>0.4643962848297214</v>
      </c>
      <c r="O71" s="16">
        <f>G71/Inventory!$G$2</f>
        <v>0.22807017543859648</v>
      </c>
      <c r="P71"/>
      <c r="AA71"/>
      <c r="AB71"/>
      <c r="AC71"/>
    </row>
    <row r="72" spans="1:29">
      <c r="A72" s="1" t="s">
        <v>309</v>
      </c>
      <c r="B72" s="1" t="s">
        <v>310</v>
      </c>
      <c r="C72" s="1" t="s">
        <v>259</v>
      </c>
      <c r="D72" s="1" t="s">
        <v>166</v>
      </c>
      <c r="E72" s="1" t="s">
        <v>196</v>
      </c>
      <c r="F72" s="1" t="s">
        <v>7</v>
      </c>
      <c r="G72" s="1">
        <v>4</v>
      </c>
      <c r="H72" s="1">
        <v>100</v>
      </c>
      <c r="I72" s="1">
        <v>15</v>
      </c>
      <c r="J72" s="1">
        <v>340</v>
      </c>
      <c r="K72" s="1" t="s">
        <v>46</v>
      </c>
      <c r="L72" s="1" t="str">
        <f t="shared" si="3"/>
        <v>May</v>
      </c>
      <c r="M72" s="2">
        <f>(H72-_xlfn.XLOOKUP(D72,Product_Master!A:A,Product_Master!D:D))*G72</f>
        <v>88</v>
      </c>
      <c r="N72" s="13">
        <f t="shared" si="2"/>
        <v>0.25882352941176473</v>
      </c>
      <c r="O72" s="16">
        <f>G72/Inventory!$G$2</f>
        <v>7.0175438596491224E-2</v>
      </c>
      <c r="P72"/>
      <c r="AA72"/>
      <c r="AB72"/>
      <c r="AC72"/>
    </row>
    <row r="73" spans="1:29">
      <c r="A73" s="1" t="s">
        <v>311</v>
      </c>
      <c r="B73" s="1" t="s">
        <v>253</v>
      </c>
      <c r="C73" s="1" t="s">
        <v>45</v>
      </c>
      <c r="D73" s="1" t="s">
        <v>167</v>
      </c>
      <c r="E73" s="1" t="s">
        <v>197</v>
      </c>
      <c r="F73" s="1" t="s">
        <v>17</v>
      </c>
      <c r="G73" s="1">
        <v>10</v>
      </c>
      <c r="H73" s="1">
        <v>135</v>
      </c>
      <c r="I73" s="1">
        <v>0</v>
      </c>
      <c r="J73" s="1">
        <v>1350</v>
      </c>
      <c r="K73" s="1" t="s">
        <v>55</v>
      </c>
      <c r="L73" s="1" t="str">
        <f t="shared" si="3"/>
        <v>Mar</v>
      </c>
      <c r="M73" s="2">
        <f>(H73-_xlfn.XLOOKUP(D73,Product_Master!A:A,Product_Master!D:D))*G73</f>
        <v>800</v>
      </c>
      <c r="N73" s="13">
        <f t="shared" si="2"/>
        <v>0.59259259259259256</v>
      </c>
      <c r="O73" s="16">
        <f>G73/Inventory!$G$2</f>
        <v>0.17543859649122806</v>
      </c>
      <c r="P73"/>
      <c r="AA73"/>
      <c r="AB73"/>
      <c r="AC73"/>
    </row>
    <row r="74" spans="1:29">
      <c r="A74" s="1" t="s">
        <v>312</v>
      </c>
      <c r="B74" s="1" t="s">
        <v>313</v>
      </c>
      <c r="C74" s="1" t="s">
        <v>48</v>
      </c>
      <c r="D74" s="1" t="s">
        <v>155</v>
      </c>
      <c r="E74" s="1" t="s">
        <v>185</v>
      </c>
      <c r="F74" s="1" t="s">
        <v>7</v>
      </c>
      <c r="G74" s="1">
        <v>11</v>
      </c>
      <c r="H74" s="1">
        <v>156</v>
      </c>
      <c r="I74" s="1">
        <v>10</v>
      </c>
      <c r="J74" s="1">
        <v>1544.4</v>
      </c>
      <c r="K74" s="1" t="s">
        <v>55</v>
      </c>
      <c r="L74" s="1" t="str">
        <f t="shared" si="3"/>
        <v>Jun</v>
      </c>
      <c r="M74" s="2">
        <f>(H74-_xlfn.XLOOKUP(D74,Product_Master!A:A,Product_Master!D:D))*G74</f>
        <v>693</v>
      </c>
      <c r="N74" s="13">
        <f t="shared" si="2"/>
        <v>0.44871794871794868</v>
      </c>
      <c r="O74" s="16">
        <f>G74/Inventory!$G$2</f>
        <v>0.19298245614035087</v>
      </c>
      <c r="P74"/>
      <c r="AA74"/>
      <c r="AB74"/>
      <c r="AC74"/>
    </row>
    <row r="75" spans="1:29">
      <c r="A75" s="1" t="s">
        <v>314</v>
      </c>
      <c r="B75" s="1" t="s">
        <v>106</v>
      </c>
      <c r="C75" s="1" t="s">
        <v>57</v>
      </c>
      <c r="D75" s="1" t="s">
        <v>155</v>
      </c>
      <c r="E75" s="1" t="s">
        <v>185</v>
      </c>
      <c r="F75" s="1" t="s">
        <v>7</v>
      </c>
      <c r="G75" s="1">
        <v>9</v>
      </c>
      <c r="H75" s="1">
        <v>156</v>
      </c>
      <c r="I75" s="1">
        <v>15</v>
      </c>
      <c r="J75" s="1">
        <v>1193.4000000000001</v>
      </c>
      <c r="K75" s="1" t="s">
        <v>235</v>
      </c>
      <c r="L75" s="1" t="str">
        <f t="shared" si="3"/>
        <v>Jan</v>
      </c>
      <c r="M75" s="2">
        <f>(H75-_xlfn.XLOOKUP(D75,Product_Master!A:A,Product_Master!D:D))*G75</f>
        <v>567</v>
      </c>
      <c r="N75" s="13">
        <f t="shared" si="2"/>
        <v>0.47511312217194568</v>
      </c>
      <c r="O75" s="16">
        <f>G75/Inventory!$G$2</f>
        <v>0.15789473684210525</v>
      </c>
      <c r="P75"/>
      <c r="AA75"/>
      <c r="AB75"/>
      <c r="AC75"/>
    </row>
    <row r="76" spans="1:29">
      <c r="A76" s="1" t="s">
        <v>315</v>
      </c>
      <c r="B76" s="1" t="s">
        <v>313</v>
      </c>
      <c r="C76" s="1" t="s">
        <v>65</v>
      </c>
      <c r="D76" s="1" t="s">
        <v>176</v>
      </c>
      <c r="E76" s="1" t="s">
        <v>206</v>
      </c>
      <c r="F76" s="1" t="s">
        <v>146</v>
      </c>
      <c r="G76" s="1">
        <v>1</v>
      </c>
      <c r="H76" s="1">
        <v>181</v>
      </c>
      <c r="I76" s="1">
        <v>5</v>
      </c>
      <c r="J76" s="1">
        <v>171.95</v>
      </c>
      <c r="K76" s="1" t="s">
        <v>46</v>
      </c>
      <c r="L76" s="1" t="str">
        <f t="shared" si="3"/>
        <v>Jun</v>
      </c>
      <c r="M76" s="2">
        <f>(H76-_xlfn.XLOOKUP(D76,Product_Master!A:A,Product_Master!D:D))*G76</f>
        <v>63</v>
      </c>
      <c r="N76" s="13">
        <f t="shared" si="2"/>
        <v>0.36638557720267523</v>
      </c>
      <c r="O76" s="16">
        <f>G76/Inventory!$G$2</f>
        <v>1.7543859649122806E-2</v>
      </c>
      <c r="P76"/>
      <c r="AA76"/>
      <c r="AB76"/>
      <c r="AC76"/>
    </row>
    <row r="77" spans="1:29">
      <c r="A77" s="1" t="s">
        <v>316</v>
      </c>
      <c r="B77" s="1" t="s">
        <v>317</v>
      </c>
      <c r="C77" s="1" t="s">
        <v>69</v>
      </c>
      <c r="D77" s="1" t="s">
        <v>177</v>
      </c>
      <c r="E77" s="1" t="s">
        <v>207</v>
      </c>
      <c r="F77" s="1" t="s">
        <v>146</v>
      </c>
      <c r="G77" s="1">
        <v>14</v>
      </c>
      <c r="H77" s="1">
        <v>145</v>
      </c>
      <c r="I77" s="1">
        <v>0</v>
      </c>
      <c r="J77" s="1">
        <v>2030</v>
      </c>
      <c r="K77" s="1" t="s">
        <v>235</v>
      </c>
      <c r="L77" s="1" t="str">
        <f t="shared" si="3"/>
        <v>Feb</v>
      </c>
      <c r="M77" s="2">
        <f>(H77-_xlfn.XLOOKUP(D77,Product_Master!A:A,Product_Master!D:D))*G77</f>
        <v>1148</v>
      </c>
      <c r="N77" s="13">
        <f t="shared" si="2"/>
        <v>0.56551724137931036</v>
      </c>
      <c r="O77" s="16">
        <f>G77/Inventory!$G$2</f>
        <v>0.24561403508771928</v>
      </c>
      <c r="P77"/>
      <c r="AA77"/>
      <c r="AB77"/>
      <c r="AC77"/>
    </row>
    <row r="78" spans="1:29">
      <c r="A78" s="1" t="s">
        <v>318</v>
      </c>
      <c r="B78" s="1" t="s">
        <v>71</v>
      </c>
      <c r="C78" s="1" t="s">
        <v>45</v>
      </c>
      <c r="D78" s="1" t="s">
        <v>8</v>
      </c>
      <c r="E78" s="1" t="s">
        <v>9</v>
      </c>
      <c r="F78" s="1" t="s">
        <v>10</v>
      </c>
      <c r="G78" s="1">
        <v>15</v>
      </c>
      <c r="H78" s="1">
        <v>146</v>
      </c>
      <c r="I78" s="1">
        <v>10</v>
      </c>
      <c r="J78" s="1">
        <v>1971</v>
      </c>
      <c r="K78" s="1" t="s">
        <v>215</v>
      </c>
      <c r="L78" s="1" t="str">
        <f t="shared" si="3"/>
        <v>Feb</v>
      </c>
      <c r="M78" s="2">
        <f>(H78-_xlfn.XLOOKUP(D78,Product_Master!A:A,Product_Master!D:D))*G78</f>
        <v>750</v>
      </c>
      <c r="N78" s="13">
        <f t="shared" si="2"/>
        <v>0.38051750380517502</v>
      </c>
      <c r="O78" s="16">
        <f>G78/Inventory!$G$2</f>
        <v>0.26315789473684209</v>
      </c>
      <c r="P78"/>
      <c r="AA78"/>
      <c r="AB78"/>
      <c r="AC78"/>
    </row>
    <row r="79" spans="1:29">
      <c r="A79" s="1" t="s">
        <v>319</v>
      </c>
      <c r="B79" s="1" t="s">
        <v>320</v>
      </c>
      <c r="C79" s="1" t="s">
        <v>65</v>
      </c>
      <c r="D79" s="1" t="s">
        <v>171</v>
      </c>
      <c r="E79" s="1" t="s">
        <v>201</v>
      </c>
      <c r="F79" s="1" t="s">
        <v>17</v>
      </c>
      <c r="G79" s="1">
        <v>15</v>
      </c>
      <c r="H79" s="1">
        <v>154</v>
      </c>
      <c r="I79" s="1">
        <v>0</v>
      </c>
      <c r="J79" s="1">
        <v>2310</v>
      </c>
      <c r="K79" s="1" t="s">
        <v>235</v>
      </c>
      <c r="L79" s="1" t="str">
        <f t="shared" si="3"/>
        <v>Mar</v>
      </c>
      <c r="M79" s="2">
        <f>(H79-_xlfn.XLOOKUP(D79,Product_Master!A:A,Product_Master!D:D))*G79</f>
        <v>870</v>
      </c>
      <c r="N79" s="13">
        <f t="shared" si="2"/>
        <v>0.37662337662337664</v>
      </c>
      <c r="O79" s="16">
        <f>G79/Inventory!$G$2</f>
        <v>0.26315789473684209</v>
      </c>
      <c r="P79"/>
      <c r="AA79"/>
      <c r="AB79"/>
      <c r="AC79"/>
    </row>
    <row r="80" spans="1:29">
      <c r="A80" s="1" t="s">
        <v>321</v>
      </c>
      <c r="B80" s="1" t="s">
        <v>322</v>
      </c>
      <c r="C80" s="1" t="s">
        <v>45</v>
      </c>
      <c r="D80" s="1" t="s">
        <v>20</v>
      </c>
      <c r="E80" s="1" t="s">
        <v>21</v>
      </c>
      <c r="F80" s="1" t="s">
        <v>10</v>
      </c>
      <c r="G80" s="1">
        <v>1</v>
      </c>
      <c r="H80" s="1">
        <v>128</v>
      </c>
      <c r="I80" s="1">
        <v>5</v>
      </c>
      <c r="J80" s="1">
        <v>121.6</v>
      </c>
      <c r="K80" s="1" t="s">
        <v>215</v>
      </c>
      <c r="L80" s="1" t="str">
        <f t="shared" si="3"/>
        <v>Jan</v>
      </c>
      <c r="M80" s="2">
        <f>(H80-_xlfn.XLOOKUP(D80,Product_Master!A:A,Product_Master!D:D))*G80</f>
        <v>53</v>
      </c>
      <c r="N80" s="13">
        <f t="shared" si="2"/>
        <v>0.43585526315789475</v>
      </c>
      <c r="O80" s="16">
        <f>G80/Inventory!$G$2</f>
        <v>1.7543859649122806E-2</v>
      </c>
      <c r="P80"/>
      <c r="AA80"/>
      <c r="AB80"/>
      <c r="AC80"/>
    </row>
    <row r="81" spans="1:29">
      <c r="A81" s="1" t="s">
        <v>323</v>
      </c>
      <c r="B81" s="1" t="s">
        <v>324</v>
      </c>
      <c r="C81" s="1" t="s">
        <v>222</v>
      </c>
      <c r="D81" s="1" t="s">
        <v>148</v>
      </c>
      <c r="E81" s="1" t="s">
        <v>178</v>
      </c>
      <c r="F81" s="1" t="s">
        <v>147</v>
      </c>
      <c r="G81" s="1">
        <v>15</v>
      </c>
      <c r="H81" s="1">
        <v>90</v>
      </c>
      <c r="I81" s="1">
        <v>15</v>
      </c>
      <c r="J81" s="1">
        <v>1147.5</v>
      </c>
      <c r="K81" s="1" t="s">
        <v>215</v>
      </c>
      <c r="L81" s="1" t="str">
        <f t="shared" si="3"/>
        <v>Apr</v>
      </c>
      <c r="M81" s="2">
        <f>(H81-_xlfn.XLOOKUP(D81,Product_Master!A:A,Product_Master!D:D))*G81</f>
        <v>465</v>
      </c>
      <c r="N81" s="13">
        <f t="shared" si="2"/>
        <v>0.40522875816993464</v>
      </c>
      <c r="O81" s="16">
        <f>G81/Inventory!$G$2</f>
        <v>0.26315789473684209</v>
      </c>
      <c r="P81"/>
      <c r="AA81"/>
      <c r="AB81"/>
      <c r="AC81"/>
    </row>
    <row r="82" spans="1:29">
      <c r="A82" s="1" t="s">
        <v>325</v>
      </c>
      <c r="B82" s="1" t="s">
        <v>326</v>
      </c>
      <c r="C82" s="1" t="s">
        <v>259</v>
      </c>
      <c r="D82" s="1" t="s">
        <v>169</v>
      </c>
      <c r="E82" s="1" t="s">
        <v>199</v>
      </c>
      <c r="F82" s="1" t="s">
        <v>10</v>
      </c>
      <c r="G82" s="1">
        <v>9</v>
      </c>
      <c r="H82" s="1">
        <v>130</v>
      </c>
      <c r="I82" s="1">
        <v>5</v>
      </c>
      <c r="J82" s="1">
        <v>1111.5</v>
      </c>
      <c r="K82" s="1" t="s">
        <v>76</v>
      </c>
      <c r="L82" s="1" t="str">
        <f t="shared" si="3"/>
        <v>Jun</v>
      </c>
      <c r="M82" s="2">
        <f>(H82-_xlfn.XLOOKUP(D82,Product_Master!A:A,Product_Master!D:D))*G82</f>
        <v>405</v>
      </c>
      <c r="N82" s="13">
        <f t="shared" si="2"/>
        <v>0.36437246963562753</v>
      </c>
      <c r="O82" s="16">
        <f>G82/Inventory!$G$2</f>
        <v>0.15789473684210525</v>
      </c>
      <c r="P82"/>
      <c r="AA82"/>
      <c r="AB82"/>
      <c r="AC82"/>
    </row>
    <row r="83" spans="1:29">
      <c r="A83" s="1" t="s">
        <v>327</v>
      </c>
      <c r="B83" s="1" t="s">
        <v>101</v>
      </c>
      <c r="C83" s="1" t="s">
        <v>224</v>
      </c>
      <c r="D83" s="1" t="s">
        <v>150</v>
      </c>
      <c r="E83" s="1" t="s">
        <v>180</v>
      </c>
      <c r="F83" s="1" t="s">
        <v>17</v>
      </c>
      <c r="G83" s="1">
        <v>4</v>
      </c>
      <c r="H83" s="1">
        <v>143</v>
      </c>
      <c r="I83" s="1">
        <v>5</v>
      </c>
      <c r="J83" s="1">
        <v>543.4</v>
      </c>
      <c r="K83" s="1" t="s">
        <v>215</v>
      </c>
      <c r="L83" s="1" t="str">
        <f t="shared" si="3"/>
        <v>Jan</v>
      </c>
      <c r="M83" s="2">
        <f>(H83-_xlfn.XLOOKUP(D83,Product_Master!A:A,Product_Master!D:D))*G83</f>
        <v>168</v>
      </c>
      <c r="N83" s="13">
        <f t="shared" si="2"/>
        <v>0.30916451969083547</v>
      </c>
      <c r="O83" s="16">
        <f>G83/Inventory!$G$2</f>
        <v>7.0175438596491224E-2</v>
      </c>
      <c r="P83"/>
      <c r="AA83"/>
      <c r="AB83"/>
      <c r="AC83"/>
    </row>
    <row r="84" spans="1:29">
      <c r="A84" s="1" t="s">
        <v>328</v>
      </c>
      <c r="B84" s="1" t="s">
        <v>329</v>
      </c>
      <c r="C84" s="1" t="s">
        <v>69</v>
      </c>
      <c r="D84" s="1" t="s">
        <v>165</v>
      </c>
      <c r="E84" s="1" t="s">
        <v>195</v>
      </c>
      <c r="F84" s="1" t="s">
        <v>147</v>
      </c>
      <c r="G84" s="1">
        <v>13</v>
      </c>
      <c r="H84" s="1">
        <v>109</v>
      </c>
      <c r="I84" s="1">
        <v>10</v>
      </c>
      <c r="J84" s="1">
        <v>1275.3</v>
      </c>
      <c r="K84" s="1" t="s">
        <v>49</v>
      </c>
      <c r="L84" s="1" t="str">
        <f t="shared" si="3"/>
        <v>Jun</v>
      </c>
      <c r="M84" s="2">
        <f>(H84-_xlfn.XLOOKUP(D84,Product_Master!A:A,Product_Master!D:D))*G84</f>
        <v>715</v>
      </c>
      <c r="N84" s="13">
        <f t="shared" si="2"/>
        <v>0.56065239551478085</v>
      </c>
      <c r="O84" s="16">
        <f>G84/Inventory!$G$2</f>
        <v>0.22807017543859648</v>
      </c>
      <c r="P84"/>
      <c r="AA84"/>
      <c r="AB84"/>
      <c r="AC84"/>
    </row>
    <row r="85" spans="1:29">
      <c r="A85" s="1" t="s">
        <v>330</v>
      </c>
      <c r="B85" s="1" t="s">
        <v>331</v>
      </c>
      <c r="C85" s="1" t="s">
        <v>72</v>
      </c>
      <c r="D85" s="1" t="s">
        <v>172</v>
      </c>
      <c r="E85" s="1" t="s">
        <v>202</v>
      </c>
      <c r="F85" s="1" t="s">
        <v>17</v>
      </c>
      <c r="G85" s="1">
        <v>10</v>
      </c>
      <c r="H85" s="1">
        <v>199</v>
      </c>
      <c r="I85" s="1">
        <v>10</v>
      </c>
      <c r="J85" s="1">
        <v>1791</v>
      </c>
      <c r="K85" s="1" t="s">
        <v>46</v>
      </c>
      <c r="L85" s="1" t="str">
        <f t="shared" si="3"/>
        <v>May</v>
      </c>
      <c r="M85" s="2">
        <f>(H85-_xlfn.XLOOKUP(D85,Product_Master!A:A,Product_Master!D:D))*G85</f>
        <v>930</v>
      </c>
      <c r="N85" s="13">
        <f t="shared" si="2"/>
        <v>0.51926298157453932</v>
      </c>
      <c r="O85" s="16">
        <f>G85/Inventory!$G$2</f>
        <v>0.17543859649122806</v>
      </c>
      <c r="P85"/>
      <c r="AA85"/>
      <c r="AB85"/>
      <c r="AC85"/>
    </row>
    <row r="86" spans="1:29">
      <c r="A86" s="1" t="s">
        <v>332</v>
      </c>
      <c r="B86" s="1" t="s">
        <v>59</v>
      </c>
      <c r="C86" s="1" t="s">
        <v>48</v>
      </c>
      <c r="D86" s="1" t="s">
        <v>164</v>
      </c>
      <c r="E86" s="1" t="s">
        <v>194</v>
      </c>
      <c r="F86" s="1" t="s">
        <v>147</v>
      </c>
      <c r="G86" s="1">
        <v>11</v>
      </c>
      <c r="H86" s="1">
        <v>135</v>
      </c>
      <c r="I86" s="1">
        <v>10</v>
      </c>
      <c r="J86" s="1">
        <v>1336.5</v>
      </c>
      <c r="K86" s="1" t="s">
        <v>235</v>
      </c>
      <c r="L86" s="1" t="str">
        <f t="shared" si="3"/>
        <v>Apr</v>
      </c>
      <c r="M86" s="2">
        <f>(H86-_xlfn.XLOOKUP(D86,Product_Master!A:A,Product_Master!D:D))*G86</f>
        <v>473</v>
      </c>
      <c r="N86" s="13">
        <f t="shared" si="2"/>
        <v>0.35390946502057613</v>
      </c>
      <c r="O86" s="16">
        <f>G86/Inventory!$G$2</f>
        <v>0.19298245614035087</v>
      </c>
      <c r="P86"/>
      <c r="AA86"/>
      <c r="AB86"/>
      <c r="AC86"/>
    </row>
    <row r="87" spans="1:29">
      <c r="A87" s="1" t="s">
        <v>333</v>
      </c>
      <c r="B87" s="1" t="s">
        <v>97</v>
      </c>
      <c r="C87" s="1" t="s">
        <v>51</v>
      </c>
      <c r="D87" s="1" t="s">
        <v>13</v>
      </c>
      <c r="E87" s="1" t="s">
        <v>14</v>
      </c>
      <c r="F87" s="1" t="s">
        <v>147</v>
      </c>
      <c r="G87" s="1">
        <v>15</v>
      </c>
      <c r="H87" s="1">
        <v>99</v>
      </c>
      <c r="I87" s="1">
        <v>5</v>
      </c>
      <c r="J87" s="1">
        <v>1410.75</v>
      </c>
      <c r="K87" s="1" t="s">
        <v>235</v>
      </c>
      <c r="L87" s="1" t="str">
        <f t="shared" si="3"/>
        <v>Mar</v>
      </c>
      <c r="M87" s="2">
        <f>(H87-_xlfn.XLOOKUP(D87,Product_Master!A:A,Product_Master!D:D))*G87</f>
        <v>360</v>
      </c>
      <c r="N87" s="13">
        <f t="shared" si="2"/>
        <v>0.2551834130781499</v>
      </c>
      <c r="O87" s="16">
        <f>G87/Inventory!$G$2</f>
        <v>0.26315789473684209</v>
      </c>
      <c r="P87"/>
      <c r="AA87"/>
      <c r="AB87"/>
      <c r="AC87"/>
    </row>
    <row r="88" spans="1:29">
      <c r="A88" s="1" t="s">
        <v>334</v>
      </c>
      <c r="B88" s="1" t="s">
        <v>90</v>
      </c>
      <c r="C88" s="1" t="s">
        <v>57</v>
      </c>
      <c r="D88" s="1" t="s">
        <v>13</v>
      </c>
      <c r="E88" s="1" t="s">
        <v>14</v>
      </c>
      <c r="F88" s="1" t="s">
        <v>147</v>
      </c>
      <c r="G88" s="1">
        <v>2</v>
      </c>
      <c r="H88" s="1">
        <v>99</v>
      </c>
      <c r="I88" s="1">
        <v>15</v>
      </c>
      <c r="J88" s="1">
        <v>168.3</v>
      </c>
      <c r="K88" s="1" t="s">
        <v>215</v>
      </c>
      <c r="L88" s="1" t="str">
        <f t="shared" si="3"/>
        <v>Mar</v>
      </c>
      <c r="M88" s="2">
        <f>(H88-_xlfn.XLOOKUP(D88,Product_Master!A:A,Product_Master!D:D))*G88</f>
        <v>48</v>
      </c>
      <c r="N88" s="13">
        <f t="shared" si="2"/>
        <v>0.28520499108734398</v>
      </c>
      <c r="O88" s="16">
        <f>G88/Inventory!$G$2</f>
        <v>3.5087719298245612E-2</v>
      </c>
      <c r="P88"/>
      <c r="AA88"/>
      <c r="AB88"/>
      <c r="AC88"/>
    </row>
    <row r="89" spans="1:29">
      <c r="A89" s="1" t="s">
        <v>335</v>
      </c>
      <c r="B89" s="1" t="s">
        <v>77</v>
      </c>
      <c r="C89" s="1" t="s">
        <v>69</v>
      </c>
      <c r="D89" s="1" t="s">
        <v>172</v>
      </c>
      <c r="E89" s="1" t="s">
        <v>202</v>
      </c>
      <c r="F89" s="1" t="s">
        <v>17</v>
      </c>
      <c r="G89" s="1">
        <v>3</v>
      </c>
      <c r="H89" s="1">
        <v>199</v>
      </c>
      <c r="I89" s="1">
        <v>5</v>
      </c>
      <c r="J89" s="1">
        <v>567.15</v>
      </c>
      <c r="K89" s="1" t="s">
        <v>76</v>
      </c>
      <c r="L89" s="1" t="str">
        <f t="shared" si="3"/>
        <v>Jan</v>
      </c>
      <c r="M89" s="2">
        <f>(H89-_xlfn.XLOOKUP(D89,Product_Master!A:A,Product_Master!D:D))*G89</f>
        <v>279</v>
      </c>
      <c r="N89" s="13">
        <f t="shared" si="2"/>
        <v>0.49193335096535312</v>
      </c>
      <c r="O89" s="16">
        <f>G89/Inventory!$G$2</f>
        <v>5.2631578947368418E-2</v>
      </c>
      <c r="P89"/>
      <c r="AA89"/>
      <c r="AB89"/>
      <c r="AC89"/>
    </row>
    <row r="90" spans="1:29">
      <c r="A90" s="1" t="s">
        <v>336</v>
      </c>
      <c r="B90" s="1" t="s">
        <v>253</v>
      </c>
      <c r="C90" s="1" t="s">
        <v>259</v>
      </c>
      <c r="D90" s="1" t="s">
        <v>177</v>
      </c>
      <c r="E90" s="1" t="s">
        <v>207</v>
      </c>
      <c r="F90" s="1" t="s">
        <v>146</v>
      </c>
      <c r="G90" s="1">
        <v>12</v>
      </c>
      <c r="H90" s="1">
        <v>145</v>
      </c>
      <c r="I90" s="1">
        <v>5</v>
      </c>
      <c r="J90" s="1">
        <v>1653</v>
      </c>
      <c r="K90" s="1" t="s">
        <v>46</v>
      </c>
      <c r="L90" s="1" t="str">
        <f t="shared" si="3"/>
        <v>Mar</v>
      </c>
      <c r="M90" s="2">
        <f>(H90-_xlfn.XLOOKUP(D90,Product_Master!A:A,Product_Master!D:D))*G90</f>
        <v>984</v>
      </c>
      <c r="N90" s="13">
        <f t="shared" si="2"/>
        <v>0.59528130671506352</v>
      </c>
      <c r="O90" s="16">
        <f>G90/Inventory!$G$2</f>
        <v>0.21052631578947367</v>
      </c>
      <c r="P90"/>
      <c r="AA90"/>
      <c r="AB90"/>
      <c r="AC90"/>
    </row>
    <row r="91" spans="1:29">
      <c r="A91" s="1" t="s">
        <v>337</v>
      </c>
      <c r="B91" s="1" t="s">
        <v>136</v>
      </c>
      <c r="C91" s="1" t="s">
        <v>222</v>
      </c>
      <c r="D91" s="1" t="s">
        <v>18</v>
      </c>
      <c r="E91" s="1" t="s">
        <v>19</v>
      </c>
      <c r="F91" s="1" t="s">
        <v>146</v>
      </c>
      <c r="G91" s="1">
        <v>9</v>
      </c>
      <c r="H91" s="1">
        <v>140</v>
      </c>
      <c r="I91" s="1">
        <v>0</v>
      </c>
      <c r="J91" s="1">
        <v>1260</v>
      </c>
      <c r="K91" s="1" t="s">
        <v>55</v>
      </c>
      <c r="L91" s="1" t="str">
        <f t="shared" si="3"/>
        <v>Jan</v>
      </c>
      <c r="M91" s="2">
        <f>(H91-_xlfn.XLOOKUP(D91,Product_Master!A:A,Product_Master!D:D))*G91</f>
        <v>882</v>
      </c>
      <c r="N91" s="13">
        <f t="shared" si="2"/>
        <v>0.7</v>
      </c>
      <c r="O91" s="16">
        <f>G91/Inventory!$G$2</f>
        <v>0.15789473684210525</v>
      </c>
      <c r="P91"/>
      <c r="AA91"/>
      <c r="AB91"/>
      <c r="AC91"/>
    </row>
    <row r="92" spans="1:29">
      <c r="A92" s="1" t="s">
        <v>338</v>
      </c>
      <c r="B92" s="1" t="s">
        <v>73</v>
      </c>
      <c r="C92" s="1" t="s">
        <v>57</v>
      </c>
      <c r="D92" s="1" t="s">
        <v>15</v>
      </c>
      <c r="E92" s="1" t="s">
        <v>16</v>
      </c>
      <c r="F92" s="1" t="s">
        <v>10</v>
      </c>
      <c r="G92" s="1">
        <v>2</v>
      </c>
      <c r="H92" s="1">
        <v>98</v>
      </c>
      <c r="I92" s="1">
        <v>5</v>
      </c>
      <c r="J92" s="1">
        <v>186.2</v>
      </c>
      <c r="K92" s="1" t="s">
        <v>215</v>
      </c>
      <c r="L92" s="1" t="str">
        <f t="shared" si="3"/>
        <v>Apr</v>
      </c>
      <c r="M92" s="2">
        <f>(H92-_xlfn.XLOOKUP(D92,Product_Master!A:A,Product_Master!D:D))*G92</f>
        <v>116</v>
      </c>
      <c r="N92" s="13">
        <f t="shared" si="2"/>
        <v>0.62298603651987117</v>
      </c>
      <c r="O92" s="16">
        <f>G92/Inventory!$G$2</f>
        <v>3.5087719298245612E-2</v>
      </c>
      <c r="P92"/>
      <c r="AA92"/>
      <c r="AB92"/>
      <c r="AC92"/>
    </row>
    <row r="93" spans="1:29">
      <c r="A93" s="1" t="s">
        <v>339</v>
      </c>
      <c r="B93" s="1" t="s">
        <v>117</v>
      </c>
      <c r="C93" s="1" t="s">
        <v>54</v>
      </c>
      <c r="D93" s="1" t="s">
        <v>158</v>
      </c>
      <c r="E93" s="1" t="s">
        <v>188</v>
      </c>
      <c r="F93" s="1" t="s">
        <v>10</v>
      </c>
      <c r="G93" s="1">
        <v>14</v>
      </c>
      <c r="H93" s="1">
        <v>65</v>
      </c>
      <c r="I93" s="1">
        <v>5</v>
      </c>
      <c r="J93" s="1">
        <v>864.5</v>
      </c>
      <c r="K93" s="1" t="s">
        <v>55</v>
      </c>
      <c r="L93" s="1" t="str">
        <f t="shared" si="3"/>
        <v>Apr</v>
      </c>
      <c r="M93" s="2">
        <f>(H93-_xlfn.XLOOKUP(D93,Product_Master!A:A,Product_Master!D:D))*G93</f>
        <v>308</v>
      </c>
      <c r="N93" s="13">
        <f t="shared" si="2"/>
        <v>0.35627530364372467</v>
      </c>
      <c r="O93" s="16">
        <f>G93/Inventory!$G$2</f>
        <v>0.24561403508771928</v>
      </c>
      <c r="P93"/>
      <c r="AA93"/>
      <c r="AB93"/>
      <c r="AC93"/>
    </row>
    <row r="94" spans="1:29">
      <c r="A94" s="1" t="s">
        <v>340</v>
      </c>
      <c r="B94" s="1" t="s">
        <v>274</v>
      </c>
      <c r="C94" s="1" t="s">
        <v>211</v>
      </c>
      <c r="D94" s="1" t="s">
        <v>153</v>
      </c>
      <c r="E94" s="1" t="s">
        <v>183</v>
      </c>
      <c r="F94" s="1" t="s">
        <v>17</v>
      </c>
      <c r="G94" s="1">
        <v>15</v>
      </c>
      <c r="H94" s="1">
        <v>89</v>
      </c>
      <c r="I94" s="1">
        <v>5</v>
      </c>
      <c r="J94" s="1">
        <v>1268.25</v>
      </c>
      <c r="K94" s="1" t="s">
        <v>55</v>
      </c>
      <c r="L94" s="1" t="str">
        <f t="shared" si="3"/>
        <v>May</v>
      </c>
      <c r="M94" s="2">
        <f>(H94-_xlfn.XLOOKUP(D94,Product_Master!A:A,Product_Master!D:D))*G94</f>
        <v>975</v>
      </c>
      <c r="N94" s="13">
        <f t="shared" si="2"/>
        <v>0.76877587226493205</v>
      </c>
      <c r="O94" s="16">
        <f>G94/Inventory!$G$2</f>
        <v>0.26315789473684209</v>
      </c>
      <c r="P94"/>
      <c r="AA94"/>
      <c r="AB94"/>
      <c r="AC94"/>
    </row>
    <row r="95" spans="1:29">
      <c r="A95" s="1" t="s">
        <v>341</v>
      </c>
      <c r="B95" s="1" t="s">
        <v>210</v>
      </c>
      <c r="C95" s="1" t="s">
        <v>51</v>
      </c>
      <c r="D95" s="1" t="s">
        <v>149</v>
      </c>
      <c r="E95" s="1" t="s">
        <v>179</v>
      </c>
      <c r="F95" s="1" t="s">
        <v>17</v>
      </c>
      <c r="G95" s="1">
        <v>11</v>
      </c>
      <c r="H95" s="1">
        <v>98</v>
      </c>
      <c r="I95" s="1">
        <v>15</v>
      </c>
      <c r="J95" s="1">
        <v>916.3</v>
      </c>
      <c r="K95" s="1" t="s">
        <v>235</v>
      </c>
      <c r="L95" s="1" t="str">
        <f t="shared" si="3"/>
        <v>Jun</v>
      </c>
      <c r="M95" s="2">
        <f>(H95-_xlfn.XLOOKUP(D95,Product_Master!A:A,Product_Master!D:D))*G95</f>
        <v>242</v>
      </c>
      <c r="N95" s="13">
        <f t="shared" si="2"/>
        <v>0.26410564225690275</v>
      </c>
      <c r="O95" s="16">
        <f>G95/Inventory!$G$2</f>
        <v>0.19298245614035087</v>
      </c>
      <c r="P95"/>
      <c r="AA95"/>
      <c r="AB95"/>
      <c r="AC95"/>
    </row>
    <row r="96" spans="1:29">
      <c r="A96" s="1" t="s">
        <v>342</v>
      </c>
      <c r="B96" s="1" t="s">
        <v>64</v>
      </c>
      <c r="C96" s="1" t="s">
        <v>48</v>
      </c>
      <c r="D96" s="1" t="s">
        <v>166</v>
      </c>
      <c r="E96" s="1" t="s">
        <v>196</v>
      </c>
      <c r="F96" s="1" t="s">
        <v>7</v>
      </c>
      <c r="G96" s="1">
        <v>1</v>
      </c>
      <c r="H96" s="1">
        <v>100</v>
      </c>
      <c r="I96" s="1">
        <v>15</v>
      </c>
      <c r="J96" s="1">
        <v>85</v>
      </c>
      <c r="K96" s="1" t="s">
        <v>76</v>
      </c>
      <c r="L96" s="1" t="str">
        <f t="shared" si="3"/>
        <v>Jan</v>
      </c>
      <c r="M96" s="2">
        <f>(H96-_xlfn.XLOOKUP(D96,Product_Master!A:A,Product_Master!D:D))*G96</f>
        <v>22</v>
      </c>
      <c r="N96" s="13">
        <f t="shared" si="2"/>
        <v>0.25882352941176473</v>
      </c>
      <c r="O96" s="16">
        <f>G96/Inventory!$G$2</f>
        <v>1.7543859649122806E-2</v>
      </c>
      <c r="P96"/>
      <c r="AA96"/>
      <c r="AB96"/>
      <c r="AC96"/>
    </row>
    <row r="97" spans="1:29">
      <c r="A97" s="1" t="s">
        <v>343</v>
      </c>
      <c r="B97" s="1" t="s">
        <v>106</v>
      </c>
      <c r="C97" s="1" t="s">
        <v>45</v>
      </c>
      <c r="D97" s="1" t="s">
        <v>150</v>
      </c>
      <c r="E97" s="1" t="s">
        <v>180</v>
      </c>
      <c r="F97" s="1" t="s">
        <v>17</v>
      </c>
      <c r="G97" s="1">
        <v>5</v>
      </c>
      <c r="H97" s="1">
        <v>143</v>
      </c>
      <c r="I97" s="1">
        <v>0</v>
      </c>
      <c r="J97" s="1">
        <v>715</v>
      </c>
      <c r="K97" s="1" t="s">
        <v>76</v>
      </c>
      <c r="L97" s="1" t="str">
        <f t="shared" si="3"/>
        <v>Jan</v>
      </c>
      <c r="M97" s="2">
        <f>(H97-_xlfn.XLOOKUP(D97,Product_Master!A:A,Product_Master!D:D))*G97</f>
        <v>210</v>
      </c>
      <c r="N97" s="13">
        <f t="shared" si="2"/>
        <v>0.2937062937062937</v>
      </c>
      <c r="O97" s="16">
        <f>G97/Inventory!$G$2</f>
        <v>8.771929824561403E-2</v>
      </c>
      <c r="P97"/>
      <c r="AA97"/>
      <c r="AB97"/>
      <c r="AC97"/>
    </row>
    <row r="98" spans="1:29">
      <c r="A98" s="1" t="s">
        <v>344</v>
      </c>
      <c r="B98" s="1" t="s">
        <v>44</v>
      </c>
      <c r="C98" s="1" t="s">
        <v>45</v>
      </c>
      <c r="D98" s="1" t="s">
        <v>158</v>
      </c>
      <c r="E98" s="1" t="s">
        <v>188</v>
      </c>
      <c r="F98" s="1" t="s">
        <v>10</v>
      </c>
      <c r="G98" s="1">
        <v>4</v>
      </c>
      <c r="H98" s="1">
        <v>65</v>
      </c>
      <c r="I98" s="1">
        <v>10</v>
      </c>
      <c r="J98" s="1">
        <v>234</v>
      </c>
      <c r="K98" s="1" t="s">
        <v>49</v>
      </c>
      <c r="L98" s="1" t="str">
        <f t="shared" si="3"/>
        <v>Mar</v>
      </c>
      <c r="M98" s="2">
        <f>(H98-_xlfn.XLOOKUP(D98,Product_Master!A:A,Product_Master!D:D))*G98</f>
        <v>88</v>
      </c>
      <c r="N98" s="13">
        <f t="shared" si="2"/>
        <v>0.37606837606837606</v>
      </c>
      <c r="O98" s="16">
        <f>G98/Inventory!$G$2</f>
        <v>7.0175438596491224E-2</v>
      </c>
      <c r="P98"/>
      <c r="AA98"/>
      <c r="AB98"/>
      <c r="AC98"/>
    </row>
    <row r="99" spans="1:29">
      <c r="A99" s="1" t="s">
        <v>345</v>
      </c>
      <c r="B99" s="1" t="s">
        <v>229</v>
      </c>
      <c r="C99" s="1" t="s">
        <v>211</v>
      </c>
      <c r="D99" s="1" t="s">
        <v>151</v>
      </c>
      <c r="E99" s="1" t="s">
        <v>181</v>
      </c>
      <c r="F99" s="1" t="s">
        <v>7</v>
      </c>
      <c r="G99" s="1">
        <v>15</v>
      </c>
      <c r="H99" s="1">
        <v>96</v>
      </c>
      <c r="I99" s="1">
        <v>5</v>
      </c>
      <c r="J99" s="1">
        <v>1368</v>
      </c>
      <c r="K99" s="1" t="s">
        <v>46</v>
      </c>
      <c r="L99" s="1" t="str">
        <f t="shared" si="3"/>
        <v>Apr</v>
      </c>
      <c r="M99" s="2">
        <f>(H99-_xlfn.XLOOKUP(D99,Product_Master!A:A,Product_Master!D:D))*G99</f>
        <v>1140</v>
      </c>
      <c r="N99" s="13">
        <f t="shared" si="2"/>
        <v>0.83333333333333337</v>
      </c>
      <c r="O99" s="16">
        <f>G99/Inventory!$G$2</f>
        <v>0.26315789473684209</v>
      </c>
      <c r="P99"/>
      <c r="AA99"/>
      <c r="AB99"/>
      <c r="AC99"/>
    </row>
    <row r="100" spans="1:29">
      <c r="A100" s="1" t="s">
        <v>346</v>
      </c>
      <c r="B100" s="1" t="s">
        <v>347</v>
      </c>
      <c r="C100" s="1" t="s">
        <v>224</v>
      </c>
      <c r="D100" s="1" t="s">
        <v>170</v>
      </c>
      <c r="E100" s="1" t="s">
        <v>200</v>
      </c>
      <c r="F100" s="1" t="s">
        <v>17</v>
      </c>
      <c r="G100" s="1">
        <v>8</v>
      </c>
      <c r="H100" s="1">
        <v>52</v>
      </c>
      <c r="I100" s="1">
        <v>5</v>
      </c>
      <c r="J100" s="1">
        <v>395.2</v>
      </c>
      <c r="K100" s="1" t="s">
        <v>46</v>
      </c>
      <c r="L100" s="1" t="str">
        <f t="shared" si="3"/>
        <v>Mar</v>
      </c>
      <c r="M100" s="2">
        <f>(H100-_xlfn.XLOOKUP(D100,Product_Master!A:A,Product_Master!D:D))*G100</f>
        <v>312</v>
      </c>
      <c r="N100" s="13">
        <f t="shared" si="2"/>
        <v>0.78947368421052633</v>
      </c>
      <c r="O100" s="16">
        <f>G100/Inventory!$G$2</f>
        <v>0.14035087719298245</v>
      </c>
      <c r="P100"/>
      <c r="AA100"/>
      <c r="AB100"/>
      <c r="AC100"/>
    </row>
    <row r="101" spans="1:29">
      <c r="A101" s="1" t="s">
        <v>348</v>
      </c>
      <c r="B101" s="1" t="s">
        <v>113</v>
      </c>
      <c r="C101" s="1" t="s">
        <v>72</v>
      </c>
      <c r="D101" s="1" t="s">
        <v>159</v>
      </c>
      <c r="E101" s="1" t="s">
        <v>189</v>
      </c>
      <c r="F101" s="1" t="s">
        <v>146</v>
      </c>
      <c r="G101" s="1">
        <v>9</v>
      </c>
      <c r="H101" s="1">
        <v>147</v>
      </c>
      <c r="I101" s="1">
        <v>15</v>
      </c>
      <c r="J101" s="1">
        <v>1124.55</v>
      </c>
      <c r="K101" s="1" t="s">
        <v>55</v>
      </c>
      <c r="L101" s="1" t="str">
        <f t="shared" si="3"/>
        <v>Mar</v>
      </c>
      <c r="M101" s="2">
        <f>(H101-_xlfn.XLOOKUP(D101,Product_Master!A:A,Product_Master!D:D))*G101</f>
        <v>774</v>
      </c>
      <c r="N101" s="13">
        <f t="shared" si="2"/>
        <v>0.68827531012404963</v>
      </c>
      <c r="O101" s="16">
        <f>G101/Inventory!$G$2</f>
        <v>0.15789473684210525</v>
      </c>
      <c r="P101"/>
      <c r="AA101"/>
      <c r="AB101"/>
      <c r="AC101"/>
    </row>
    <row r="102" spans="1:29">
      <c r="A102" s="1" t="s">
        <v>349</v>
      </c>
      <c r="B102" s="1" t="s">
        <v>350</v>
      </c>
      <c r="C102" s="1" t="s">
        <v>222</v>
      </c>
      <c r="D102" s="1" t="s">
        <v>151</v>
      </c>
      <c r="E102" s="1" t="s">
        <v>181</v>
      </c>
      <c r="F102" s="1" t="s">
        <v>7</v>
      </c>
      <c r="G102" s="1">
        <v>6</v>
      </c>
      <c r="H102" s="1">
        <v>96</v>
      </c>
      <c r="I102" s="1">
        <v>15</v>
      </c>
      <c r="J102" s="1">
        <v>489.6</v>
      </c>
      <c r="K102" s="1" t="s">
        <v>235</v>
      </c>
      <c r="L102" s="1" t="str">
        <f t="shared" si="3"/>
        <v>Apr</v>
      </c>
      <c r="M102" s="2">
        <f>(H102-_xlfn.XLOOKUP(D102,Product_Master!A:A,Product_Master!D:D))*G102</f>
        <v>456</v>
      </c>
      <c r="N102" s="13">
        <f t="shared" si="2"/>
        <v>0.93137254901960775</v>
      </c>
      <c r="O102" s="16">
        <f>G102/Inventory!$G$2</f>
        <v>0.10526315789473684</v>
      </c>
      <c r="P102"/>
      <c r="AA102"/>
      <c r="AB102"/>
      <c r="AC102"/>
    </row>
    <row r="103" spans="1:29">
      <c r="A103" s="1" t="s">
        <v>351</v>
      </c>
      <c r="B103" s="1" t="s">
        <v>63</v>
      </c>
      <c r="C103" s="1" t="s">
        <v>224</v>
      </c>
      <c r="D103" s="1" t="s">
        <v>173</v>
      </c>
      <c r="E103" s="1" t="s">
        <v>203</v>
      </c>
      <c r="F103" s="1" t="s">
        <v>17</v>
      </c>
      <c r="G103" s="1">
        <v>7</v>
      </c>
      <c r="H103" s="1">
        <v>139</v>
      </c>
      <c r="I103" s="1">
        <v>15</v>
      </c>
      <c r="J103" s="1">
        <v>827.05</v>
      </c>
      <c r="K103" s="1" t="s">
        <v>55</v>
      </c>
      <c r="L103" s="1" t="str">
        <f t="shared" si="3"/>
        <v>Feb</v>
      </c>
      <c r="M103" s="2">
        <f>(H103-_xlfn.XLOOKUP(D103,Product_Master!A:A,Product_Master!D:D))*G103</f>
        <v>490</v>
      </c>
      <c r="N103" s="13">
        <f t="shared" si="2"/>
        <v>0.59246720270842157</v>
      </c>
      <c r="O103" s="16">
        <f>G103/Inventory!$G$2</f>
        <v>0.12280701754385964</v>
      </c>
      <c r="P103"/>
      <c r="AA103"/>
      <c r="AB103"/>
      <c r="AC103"/>
    </row>
    <row r="104" spans="1:29">
      <c r="A104" s="1" t="s">
        <v>352</v>
      </c>
      <c r="B104" s="1" t="s">
        <v>270</v>
      </c>
      <c r="C104" s="1" t="s">
        <v>51</v>
      </c>
      <c r="D104" s="1" t="s">
        <v>162</v>
      </c>
      <c r="E104" s="1" t="s">
        <v>192</v>
      </c>
      <c r="F104" s="1" t="s">
        <v>146</v>
      </c>
      <c r="G104" s="1">
        <v>1</v>
      </c>
      <c r="H104" s="1">
        <v>168</v>
      </c>
      <c r="I104" s="1">
        <v>5</v>
      </c>
      <c r="J104" s="1">
        <v>159.6</v>
      </c>
      <c r="K104" s="1" t="s">
        <v>55</v>
      </c>
      <c r="L104" s="1" t="str">
        <f t="shared" si="3"/>
        <v>May</v>
      </c>
      <c r="M104" s="2">
        <f>(H104-_xlfn.XLOOKUP(D104,Product_Master!A:A,Product_Master!D:D))*G104</f>
        <v>55</v>
      </c>
      <c r="N104" s="13">
        <f t="shared" si="2"/>
        <v>0.34461152882205515</v>
      </c>
      <c r="O104" s="16">
        <f>G104/Inventory!$G$2</f>
        <v>1.7543859649122806E-2</v>
      </c>
      <c r="P104"/>
      <c r="AA104"/>
      <c r="AB104"/>
      <c r="AC104"/>
    </row>
    <row r="105" spans="1:29">
      <c r="A105" s="1" t="s">
        <v>353</v>
      </c>
      <c r="B105" s="1" t="s">
        <v>133</v>
      </c>
      <c r="C105" s="1" t="s">
        <v>259</v>
      </c>
      <c r="D105" s="1" t="s">
        <v>155</v>
      </c>
      <c r="E105" s="1" t="s">
        <v>185</v>
      </c>
      <c r="F105" s="1" t="s">
        <v>7</v>
      </c>
      <c r="G105" s="1">
        <v>12</v>
      </c>
      <c r="H105" s="1">
        <v>156</v>
      </c>
      <c r="I105" s="1">
        <v>0</v>
      </c>
      <c r="J105" s="1">
        <v>1872</v>
      </c>
      <c r="K105" s="1" t="s">
        <v>76</v>
      </c>
      <c r="L105" s="1" t="str">
        <f t="shared" si="3"/>
        <v>Jan</v>
      </c>
      <c r="M105" s="2">
        <f>(H105-_xlfn.XLOOKUP(D105,Product_Master!A:A,Product_Master!D:D))*G105</f>
        <v>756</v>
      </c>
      <c r="N105" s="13">
        <f t="shared" si="2"/>
        <v>0.40384615384615385</v>
      </c>
      <c r="O105" s="16">
        <f>G105/Inventory!$G$2</f>
        <v>0.21052631578947367</v>
      </c>
      <c r="P105"/>
      <c r="AA105"/>
      <c r="AB105"/>
      <c r="AC105"/>
    </row>
    <row r="106" spans="1:29">
      <c r="A106" s="1" t="s">
        <v>354</v>
      </c>
      <c r="B106" s="1" t="s">
        <v>136</v>
      </c>
      <c r="C106" s="1" t="s">
        <v>57</v>
      </c>
      <c r="D106" s="1" t="s">
        <v>169</v>
      </c>
      <c r="E106" s="1" t="s">
        <v>199</v>
      </c>
      <c r="F106" s="1" t="s">
        <v>10</v>
      </c>
      <c r="G106" s="1">
        <v>15</v>
      </c>
      <c r="H106" s="1">
        <v>130</v>
      </c>
      <c r="I106" s="1">
        <v>0</v>
      </c>
      <c r="J106" s="1">
        <v>1950</v>
      </c>
      <c r="K106" s="1" t="s">
        <v>235</v>
      </c>
      <c r="L106" s="1" t="str">
        <f t="shared" si="3"/>
        <v>Jan</v>
      </c>
      <c r="M106" s="2">
        <f>(H106-_xlfn.XLOOKUP(D106,Product_Master!A:A,Product_Master!D:D))*G106</f>
        <v>675</v>
      </c>
      <c r="N106" s="13">
        <f t="shared" si="2"/>
        <v>0.34615384615384615</v>
      </c>
      <c r="O106" s="16">
        <f>G106/Inventory!$G$2</f>
        <v>0.26315789473684209</v>
      </c>
      <c r="P106"/>
      <c r="AA106"/>
      <c r="AB106"/>
      <c r="AC106"/>
    </row>
    <row r="107" spans="1:29">
      <c r="A107" s="1" t="s">
        <v>355</v>
      </c>
      <c r="B107" s="1" t="s">
        <v>74</v>
      </c>
      <c r="C107" s="1" t="s">
        <v>224</v>
      </c>
      <c r="D107" s="1" t="s">
        <v>152</v>
      </c>
      <c r="E107" s="1" t="s">
        <v>182</v>
      </c>
      <c r="F107" s="1" t="s">
        <v>146</v>
      </c>
      <c r="G107" s="1">
        <v>4</v>
      </c>
      <c r="H107" s="1">
        <v>158</v>
      </c>
      <c r="I107" s="1">
        <v>0</v>
      </c>
      <c r="J107" s="1">
        <v>632</v>
      </c>
      <c r="K107" s="1" t="s">
        <v>46</v>
      </c>
      <c r="L107" s="1" t="str">
        <f t="shared" si="3"/>
        <v>Feb</v>
      </c>
      <c r="M107" s="2">
        <f>(H107-_xlfn.XLOOKUP(D107,Product_Master!A:A,Product_Master!D:D))*G107</f>
        <v>380</v>
      </c>
      <c r="N107" s="13">
        <f t="shared" si="2"/>
        <v>0.60126582278481011</v>
      </c>
      <c r="O107" s="16">
        <f>G107/Inventory!$G$2</f>
        <v>7.0175438596491224E-2</v>
      </c>
      <c r="P107"/>
      <c r="AA107"/>
      <c r="AB107"/>
      <c r="AC107"/>
    </row>
    <row r="108" spans="1:29">
      <c r="A108" s="1" t="s">
        <v>356</v>
      </c>
      <c r="B108" s="1" t="s">
        <v>357</v>
      </c>
      <c r="C108" s="1" t="s">
        <v>65</v>
      </c>
      <c r="D108" s="1" t="s">
        <v>24</v>
      </c>
      <c r="E108" s="1" t="s">
        <v>25</v>
      </c>
      <c r="F108" s="1" t="s">
        <v>146</v>
      </c>
      <c r="G108" s="1">
        <v>12</v>
      </c>
      <c r="H108" s="1">
        <v>96</v>
      </c>
      <c r="I108" s="1">
        <v>5</v>
      </c>
      <c r="J108" s="1">
        <v>1094.4000000000001</v>
      </c>
      <c r="K108" s="1" t="s">
        <v>46</v>
      </c>
      <c r="L108" s="1" t="str">
        <f t="shared" si="3"/>
        <v>Mar</v>
      </c>
      <c r="M108" s="2">
        <f>(H108-_xlfn.XLOOKUP(D108,Product_Master!A:A,Product_Master!D:D))*G108</f>
        <v>288</v>
      </c>
      <c r="N108" s="13">
        <f t="shared" si="2"/>
        <v>0.26315789473684209</v>
      </c>
      <c r="O108" s="16">
        <f>G108/Inventory!$G$2</f>
        <v>0.21052631578947367</v>
      </c>
      <c r="P108"/>
      <c r="AA108"/>
      <c r="AB108"/>
      <c r="AC108"/>
    </row>
    <row r="109" spans="1:29">
      <c r="A109" s="1" t="s">
        <v>358</v>
      </c>
      <c r="B109" s="1" t="s">
        <v>97</v>
      </c>
      <c r="C109" s="1" t="s">
        <v>57</v>
      </c>
      <c r="D109" s="1" t="s">
        <v>150</v>
      </c>
      <c r="E109" s="1" t="s">
        <v>180</v>
      </c>
      <c r="F109" s="1" t="s">
        <v>17</v>
      </c>
      <c r="G109" s="1">
        <v>5</v>
      </c>
      <c r="H109" s="1">
        <v>143</v>
      </c>
      <c r="I109" s="1">
        <v>5</v>
      </c>
      <c r="J109" s="1">
        <v>679.25</v>
      </c>
      <c r="K109" s="1" t="s">
        <v>46</v>
      </c>
      <c r="L109" s="1" t="str">
        <f t="shared" si="3"/>
        <v>Mar</v>
      </c>
      <c r="M109" s="2">
        <f>(H109-_xlfn.XLOOKUP(D109,Product_Master!A:A,Product_Master!D:D))*G109</f>
        <v>210</v>
      </c>
      <c r="N109" s="13">
        <f t="shared" si="2"/>
        <v>0.30916451969083547</v>
      </c>
      <c r="O109" s="16">
        <f>G109/Inventory!$G$2</f>
        <v>8.771929824561403E-2</v>
      </c>
      <c r="P109"/>
      <c r="AA109"/>
      <c r="AB109"/>
      <c r="AC109"/>
    </row>
    <row r="110" spans="1:29">
      <c r="A110" s="1" t="s">
        <v>359</v>
      </c>
      <c r="B110" s="1" t="s">
        <v>210</v>
      </c>
      <c r="C110" s="1" t="s">
        <v>45</v>
      </c>
      <c r="D110" s="1" t="s">
        <v>20</v>
      </c>
      <c r="E110" s="1" t="s">
        <v>21</v>
      </c>
      <c r="F110" s="1" t="s">
        <v>10</v>
      </c>
      <c r="G110" s="1">
        <v>5</v>
      </c>
      <c r="H110" s="1">
        <v>128</v>
      </c>
      <c r="I110" s="1">
        <v>10</v>
      </c>
      <c r="J110" s="1">
        <v>576</v>
      </c>
      <c r="K110" s="1" t="s">
        <v>215</v>
      </c>
      <c r="L110" s="1" t="str">
        <f t="shared" si="3"/>
        <v>Jun</v>
      </c>
      <c r="M110" s="2">
        <f>(H110-_xlfn.XLOOKUP(D110,Product_Master!A:A,Product_Master!D:D))*G110</f>
        <v>265</v>
      </c>
      <c r="N110" s="13">
        <f t="shared" si="2"/>
        <v>0.46006944444444442</v>
      </c>
      <c r="O110" s="16">
        <f>G110/Inventory!$G$2</f>
        <v>8.771929824561403E-2</v>
      </c>
      <c r="P110"/>
      <c r="AA110"/>
      <c r="AB110"/>
      <c r="AC110"/>
    </row>
    <row r="111" spans="1:29">
      <c r="A111" s="1" t="s">
        <v>360</v>
      </c>
      <c r="B111" s="1" t="s">
        <v>361</v>
      </c>
      <c r="C111" s="1" t="s">
        <v>65</v>
      </c>
      <c r="D111" s="1" t="s">
        <v>18</v>
      </c>
      <c r="E111" s="1" t="s">
        <v>19</v>
      </c>
      <c r="F111" s="1" t="s">
        <v>146</v>
      </c>
      <c r="G111" s="1">
        <v>2</v>
      </c>
      <c r="H111" s="1">
        <v>140</v>
      </c>
      <c r="I111" s="1">
        <v>0</v>
      </c>
      <c r="J111" s="1">
        <v>280</v>
      </c>
      <c r="K111" s="1" t="s">
        <v>235</v>
      </c>
      <c r="L111" s="1" t="str">
        <f t="shared" si="3"/>
        <v>Feb</v>
      </c>
      <c r="M111" s="2">
        <f>(H111-_xlfn.XLOOKUP(D111,Product_Master!A:A,Product_Master!D:D))*G111</f>
        <v>196</v>
      </c>
      <c r="N111" s="13">
        <f t="shared" si="2"/>
        <v>0.7</v>
      </c>
      <c r="O111" s="16">
        <f>G111/Inventory!$G$2</f>
        <v>3.5087719298245612E-2</v>
      </c>
      <c r="P111"/>
      <c r="AA111"/>
      <c r="AB111"/>
      <c r="AC111"/>
    </row>
    <row r="112" spans="1:29">
      <c r="A112" s="1" t="s">
        <v>362</v>
      </c>
      <c r="B112" s="1" t="s">
        <v>89</v>
      </c>
      <c r="C112" s="1" t="s">
        <v>45</v>
      </c>
      <c r="D112" s="1" t="s">
        <v>156</v>
      </c>
      <c r="E112" s="1" t="s">
        <v>186</v>
      </c>
      <c r="F112" s="1" t="s">
        <v>147</v>
      </c>
      <c r="G112" s="1">
        <v>2</v>
      </c>
      <c r="H112" s="1">
        <v>95</v>
      </c>
      <c r="I112" s="1">
        <v>0</v>
      </c>
      <c r="J112" s="1">
        <v>190</v>
      </c>
      <c r="K112" s="1" t="s">
        <v>235</v>
      </c>
      <c r="L112" s="1" t="str">
        <f t="shared" si="3"/>
        <v>Mar</v>
      </c>
      <c r="M112" s="2">
        <f>(H112-_xlfn.XLOOKUP(D112,Product_Master!A:A,Product_Master!D:D))*G112</f>
        <v>148</v>
      </c>
      <c r="N112" s="13">
        <f t="shared" si="2"/>
        <v>0.77894736842105261</v>
      </c>
      <c r="O112" s="16">
        <f>G112/Inventory!$G$2</f>
        <v>3.5087719298245612E-2</v>
      </c>
      <c r="P112"/>
      <c r="AA112"/>
      <c r="AB112"/>
      <c r="AC112"/>
    </row>
    <row r="113" spans="1:29">
      <c r="A113" s="1" t="s">
        <v>363</v>
      </c>
      <c r="B113" s="1" t="s">
        <v>302</v>
      </c>
      <c r="C113" s="1" t="s">
        <v>72</v>
      </c>
      <c r="D113" s="1" t="s">
        <v>149</v>
      </c>
      <c r="E113" s="1" t="s">
        <v>179</v>
      </c>
      <c r="F113" s="1" t="s">
        <v>17</v>
      </c>
      <c r="G113" s="1">
        <v>14</v>
      </c>
      <c r="H113" s="1">
        <v>98</v>
      </c>
      <c r="I113" s="1">
        <v>0</v>
      </c>
      <c r="J113" s="1">
        <v>1372</v>
      </c>
      <c r="K113" s="1" t="s">
        <v>49</v>
      </c>
      <c r="L113" s="1" t="str">
        <f t="shared" si="3"/>
        <v>Jan</v>
      </c>
      <c r="M113" s="2">
        <f>(H113-_xlfn.XLOOKUP(D113,Product_Master!A:A,Product_Master!D:D))*G113</f>
        <v>308</v>
      </c>
      <c r="N113" s="13">
        <f t="shared" si="2"/>
        <v>0.22448979591836735</v>
      </c>
      <c r="O113" s="16">
        <f>G113/Inventory!$G$2</f>
        <v>0.24561403508771928</v>
      </c>
      <c r="P113"/>
      <c r="AA113"/>
      <c r="AB113"/>
      <c r="AC113"/>
    </row>
    <row r="114" spans="1:29">
      <c r="A114" s="1" t="s">
        <v>364</v>
      </c>
      <c r="B114" s="1" t="s">
        <v>270</v>
      </c>
      <c r="C114" s="1" t="s">
        <v>222</v>
      </c>
      <c r="D114" s="1" t="s">
        <v>155</v>
      </c>
      <c r="E114" s="1" t="s">
        <v>185</v>
      </c>
      <c r="F114" s="1" t="s">
        <v>7</v>
      </c>
      <c r="G114" s="1">
        <v>11</v>
      </c>
      <c r="H114" s="1">
        <v>156</v>
      </c>
      <c r="I114" s="1">
        <v>0</v>
      </c>
      <c r="J114" s="1">
        <v>1716</v>
      </c>
      <c r="K114" s="1" t="s">
        <v>76</v>
      </c>
      <c r="L114" s="1" t="str">
        <f t="shared" si="3"/>
        <v>May</v>
      </c>
      <c r="M114" s="2">
        <f>(H114-_xlfn.XLOOKUP(D114,Product_Master!A:A,Product_Master!D:D))*G114</f>
        <v>693</v>
      </c>
      <c r="N114" s="13">
        <f t="shared" si="2"/>
        <v>0.40384615384615385</v>
      </c>
      <c r="O114" s="16">
        <f>G114/Inventory!$G$2</f>
        <v>0.19298245614035087</v>
      </c>
      <c r="P114"/>
      <c r="AA114"/>
      <c r="AB114"/>
      <c r="AC114"/>
    </row>
    <row r="115" spans="1:29">
      <c r="A115" s="1" t="s">
        <v>365</v>
      </c>
      <c r="B115" s="1" t="s">
        <v>121</v>
      </c>
      <c r="C115" s="1" t="s">
        <v>45</v>
      </c>
      <c r="D115" s="1" t="s">
        <v>177</v>
      </c>
      <c r="E115" s="1" t="s">
        <v>207</v>
      </c>
      <c r="F115" s="1" t="s">
        <v>146</v>
      </c>
      <c r="G115" s="1">
        <v>15</v>
      </c>
      <c r="H115" s="1">
        <v>145</v>
      </c>
      <c r="I115" s="1">
        <v>0</v>
      </c>
      <c r="J115" s="1">
        <v>2175</v>
      </c>
      <c r="K115" s="1" t="s">
        <v>49</v>
      </c>
      <c r="L115" s="1" t="str">
        <f t="shared" si="3"/>
        <v>Feb</v>
      </c>
      <c r="M115" s="2">
        <f>(H115-_xlfn.XLOOKUP(D115,Product_Master!A:A,Product_Master!D:D))*G115</f>
        <v>1230</v>
      </c>
      <c r="N115" s="13">
        <f t="shared" si="2"/>
        <v>0.56551724137931036</v>
      </c>
      <c r="O115" s="16">
        <f>G115/Inventory!$G$2</f>
        <v>0.26315789473684209</v>
      </c>
      <c r="P115"/>
      <c r="AA115"/>
      <c r="AB115"/>
      <c r="AC115"/>
    </row>
    <row r="116" spans="1:29">
      <c r="A116" s="1" t="s">
        <v>366</v>
      </c>
      <c r="B116" s="1" t="s">
        <v>85</v>
      </c>
      <c r="C116" s="1" t="s">
        <v>54</v>
      </c>
      <c r="D116" s="1" t="s">
        <v>164</v>
      </c>
      <c r="E116" s="1" t="s">
        <v>194</v>
      </c>
      <c r="F116" s="1" t="s">
        <v>147</v>
      </c>
      <c r="G116" s="1">
        <v>6</v>
      </c>
      <c r="H116" s="1">
        <v>135</v>
      </c>
      <c r="I116" s="1">
        <v>5</v>
      </c>
      <c r="J116" s="1">
        <v>769.5</v>
      </c>
      <c r="K116" s="1" t="s">
        <v>235</v>
      </c>
      <c r="L116" s="1" t="str">
        <f t="shared" si="3"/>
        <v>Apr</v>
      </c>
      <c r="M116" s="2">
        <f>(H116-_xlfn.XLOOKUP(D116,Product_Master!A:A,Product_Master!D:D))*G116</f>
        <v>258</v>
      </c>
      <c r="N116" s="13">
        <f t="shared" si="2"/>
        <v>0.33528265107212474</v>
      </c>
      <c r="O116" s="16">
        <f>G116/Inventory!$G$2</f>
        <v>0.10526315789473684</v>
      </c>
      <c r="P116"/>
      <c r="AA116"/>
      <c r="AB116"/>
      <c r="AC116"/>
    </row>
    <row r="117" spans="1:29">
      <c r="A117" s="1" t="s">
        <v>367</v>
      </c>
      <c r="B117" s="1" t="s">
        <v>368</v>
      </c>
      <c r="C117" s="1" t="s">
        <v>224</v>
      </c>
      <c r="D117" s="1" t="s">
        <v>167</v>
      </c>
      <c r="E117" s="1" t="s">
        <v>197</v>
      </c>
      <c r="F117" s="1" t="s">
        <v>17</v>
      </c>
      <c r="G117" s="1">
        <v>11</v>
      </c>
      <c r="H117" s="1">
        <v>135</v>
      </c>
      <c r="I117" s="1">
        <v>15</v>
      </c>
      <c r="J117" s="1">
        <v>1262.25</v>
      </c>
      <c r="K117" s="1" t="s">
        <v>76</v>
      </c>
      <c r="L117" s="1" t="str">
        <f t="shared" si="3"/>
        <v>Jun</v>
      </c>
      <c r="M117" s="2">
        <f>(H117-_xlfn.XLOOKUP(D117,Product_Master!A:A,Product_Master!D:D))*G117</f>
        <v>880</v>
      </c>
      <c r="N117" s="13">
        <f t="shared" si="2"/>
        <v>0.69716775599128544</v>
      </c>
      <c r="O117" s="16">
        <f>G117/Inventory!$G$2</f>
        <v>0.19298245614035087</v>
      </c>
      <c r="P117"/>
      <c r="AA117"/>
      <c r="AB117"/>
      <c r="AC117"/>
    </row>
    <row r="118" spans="1:29">
      <c r="A118" s="1" t="s">
        <v>369</v>
      </c>
      <c r="B118" s="1" t="s">
        <v>370</v>
      </c>
      <c r="C118" s="1" t="s">
        <v>259</v>
      </c>
      <c r="D118" s="1" t="s">
        <v>160</v>
      </c>
      <c r="E118" s="1" t="s">
        <v>190</v>
      </c>
      <c r="F118" s="1" t="s">
        <v>7</v>
      </c>
      <c r="G118" s="1">
        <v>7</v>
      </c>
      <c r="H118" s="1">
        <v>37</v>
      </c>
      <c r="I118" s="1">
        <v>15</v>
      </c>
      <c r="J118" s="1">
        <v>220.15</v>
      </c>
      <c r="K118" s="1" t="s">
        <v>76</v>
      </c>
      <c r="L118" s="1" t="str">
        <f t="shared" si="3"/>
        <v>Jun</v>
      </c>
      <c r="M118" s="2">
        <f>(H118-_xlfn.XLOOKUP(D118,Product_Master!A:A,Product_Master!D:D))*G118</f>
        <v>182</v>
      </c>
      <c r="N118" s="13">
        <f t="shared" si="2"/>
        <v>0.82670906200317962</v>
      </c>
      <c r="O118" s="16">
        <f>G118/Inventory!$G$2</f>
        <v>0.12280701754385964</v>
      </c>
      <c r="P118"/>
      <c r="AA118"/>
      <c r="AB118"/>
      <c r="AC118"/>
    </row>
    <row r="119" spans="1:29">
      <c r="A119" s="1" t="s">
        <v>371</v>
      </c>
      <c r="B119" s="1" t="s">
        <v>372</v>
      </c>
      <c r="C119" s="1" t="s">
        <v>51</v>
      </c>
      <c r="D119" s="1" t="s">
        <v>152</v>
      </c>
      <c r="E119" s="1" t="s">
        <v>182</v>
      </c>
      <c r="F119" s="1" t="s">
        <v>146</v>
      </c>
      <c r="G119" s="1">
        <v>1</v>
      </c>
      <c r="H119" s="1">
        <v>158</v>
      </c>
      <c r="I119" s="1">
        <v>15</v>
      </c>
      <c r="J119" s="1">
        <v>134.30000000000001</v>
      </c>
      <c r="K119" s="1" t="s">
        <v>235</v>
      </c>
      <c r="L119" s="1" t="str">
        <f t="shared" si="3"/>
        <v>Jun</v>
      </c>
      <c r="M119" s="2">
        <f>(H119-_xlfn.XLOOKUP(D119,Product_Master!A:A,Product_Master!D:D))*G119</f>
        <v>95</v>
      </c>
      <c r="N119" s="13">
        <f t="shared" si="2"/>
        <v>0.70737155621742365</v>
      </c>
      <c r="O119" s="16">
        <f>G119/Inventory!$G$2</f>
        <v>1.7543859649122806E-2</v>
      </c>
      <c r="P119"/>
      <c r="AA119"/>
      <c r="AB119"/>
      <c r="AC119"/>
    </row>
    <row r="120" spans="1:29">
      <c r="A120" s="1" t="s">
        <v>373</v>
      </c>
      <c r="B120" s="1" t="s">
        <v>83</v>
      </c>
      <c r="C120" s="1" t="s">
        <v>54</v>
      </c>
      <c r="D120" s="1" t="s">
        <v>166</v>
      </c>
      <c r="E120" s="1" t="s">
        <v>196</v>
      </c>
      <c r="F120" s="1" t="s">
        <v>7</v>
      </c>
      <c r="G120" s="1">
        <v>5</v>
      </c>
      <c r="H120" s="1">
        <v>100</v>
      </c>
      <c r="I120" s="1">
        <v>5</v>
      </c>
      <c r="J120" s="1">
        <v>475</v>
      </c>
      <c r="K120" s="1" t="s">
        <v>76</v>
      </c>
      <c r="L120" s="1" t="str">
        <f t="shared" si="3"/>
        <v>Jan</v>
      </c>
      <c r="M120" s="2">
        <f>(H120-_xlfn.XLOOKUP(D120,Product_Master!A:A,Product_Master!D:D))*G120</f>
        <v>110</v>
      </c>
      <c r="N120" s="13">
        <f t="shared" si="2"/>
        <v>0.23157894736842105</v>
      </c>
      <c r="O120" s="16">
        <f>G120/Inventory!$G$2</f>
        <v>8.771929824561403E-2</v>
      </c>
      <c r="P120"/>
      <c r="AA120"/>
      <c r="AB120"/>
      <c r="AC120"/>
    </row>
    <row r="121" spans="1:29">
      <c r="A121" s="1" t="s">
        <v>374</v>
      </c>
      <c r="B121" s="1" t="s">
        <v>375</v>
      </c>
      <c r="C121" s="1" t="s">
        <v>48</v>
      </c>
      <c r="D121" s="1" t="s">
        <v>167</v>
      </c>
      <c r="E121" s="1" t="s">
        <v>197</v>
      </c>
      <c r="F121" s="1" t="s">
        <v>17</v>
      </c>
      <c r="G121" s="1">
        <v>13</v>
      </c>
      <c r="H121" s="1">
        <v>135</v>
      </c>
      <c r="I121" s="1">
        <v>5</v>
      </c>
      <c r="J121" s="1">
        <v>1667.25</v>
      </c>
      <c r="K121" s="1" t="s">
        <v>215</v>
      </c>
      <c r="L121" s="1" t="str">
        <f t="shared" si="3"/>
        <v>May</v>
      </c>
      <c r="M121" s="2">
        <f>(H121-_xlfn.XLOOKUP(D121,Product_Master!A:A,Product_Master!D:D))*G121</f>
        <v>1040</v>
      </c>
      <c r="N121" s="13">
        <f t="shared" si="2"/>
        <v>0.62378167641325533</v>
      </c>
      <c r="O121" s="16">
        <f>G121/Inventory!$G$2</f>
        <v>0.22807017543859648</v>
      </c>
      <c r="P121"/>
      <c r="AA121"/>
      <c r="AB121"/>
      <c r="AC121"/>
    </row>
    <row r="122" spans="1:29">
      <c r="A122" s="1" t="s">
        <v>376</v>
      </c>
      <c r="B122" s="1" t="s">
        <v>377</v>
      </c>
      <c r="C122" s="1" t="s">
        <v>259</v>
      </c>
      <c r="D122" s="1" t="s">
        <v>162</v>
      </c>
      <c r="E122" s="1" t="s">
        <v>192</v>
      </c>
      <c r="F122" s="1" t="s">
        <v>146</v>
      </c>
      <c r="G122" s="1">
        <v>9</v>
      </c>
      <c r="H122" s="1">
        <v>168</v>
      </c>
      <c r="I122" s="1">
        <v>10</v>
      </c>
      <c r="J122" s="1">
        <v>1360.8</v>
      </c>
      <c r="K122" s="1" t="s">
        <v>46</v>
      </c>
      <c r="L122" s="1" t="str">
        <f t="shared" si="3"/>
        <v>Jun</v>
      </c>
      <c r="M122" s="2">
        <f>(H122-_xlfn.XLOOKUP(D122,Product_Master!A:A,Product_Master!D:D))*G122</f>
        <v>495</v>
      </c>
      <c r="N122" s="13">
        <f t="shared" si="2"/>
        <v>0.36375661375661378</v>
      </c>
      <c r="O122" s="16">
        <f>G122/Inventory!$G$2</f>
        <v>0.15789473684210525</v>
      </c>
      <c r="P122"/>
      <c r="AA122"/>
      <c r="AB122"/>
      <c r="AC122"/>
    </row>
    <row r="123" spans="1:29">
      <c r="A123" s="1" t="s">
        <v>378</v>
      </c>
      <c r="B123" s="1" t="s">
        <v>81</v>
      </c>
      <c r="C123" s="1" t="s">
        <v>51</v>
      </c>
      <c r="D123" s="1" t="s">
        <v>171</v>
      </c>
      <c r="E123" s="1" t="s">
        <v>201</v>
      </c>
      <c r="F123" s="1" t="s">
        <v>17</v>
      </c>
      <c r="G123" s="1">
        <v>4</v>
      </c>
      <c r="H123" s="1">
        <v>154</v>
      </c>
      <c r="I123" s="1">
        <v>0</v>
      </c>
      <c r="J123" s="1">
        <v>616</v>
      </c>
      <c r="K123" s="1" t="s">
        <v>49</v>
      </c>
      <c r="L123" s="1" t="str">
        <f t="shared" si="3"/>
        <v>Apr</v>
      </c>
      <c r="M123" s="2">
        <f>(H123-_xlfn.XLOOKUP(D123,Product_Master!A:A,Product_Master!D:D))*G123</f>
        <v>232</v>
      </c>
      <c r="N123" s="13">
        <f t="shared" si="2"/>
        <v>0.37662337662337664</v>
      </c>
      <c r="O123" s="16">
        <f>G123/Inventory!$G$2</f>
        <v>7.0175438596491224E-2</v>
      </c>
      <c r="P123"/>
      <c r="AA123"/>
      <c r="AB123"/>
      <c r="AC123"/>
    </row>
    <row r="124" spans="1:29">
      <c r="A124" s="1" t="s">
        <v>379</v>
      </c>
      <c r="B124" s="1" t="s">
        <v>99</v>
      </c>
      <c r="C124" s="1" t="s">
        <v>65</v>
      </c>
      <c r="D124" s="1" t="s">
        <v>160</v>
      </c>
      <c r="E124" s="1" t="s">
        <v>190</v>
      </c>
      <c r="F124" s="1" t="s">
        <v>7</v>
      </c>
      <c r="G124" s="1">
        <v>12</v>
      </c>
      <c r="H124" s="1">
        <v>37</v>
      </c>
      <c r="I124" s="1">
        <v>10</v>
      </c>
      <c r="J124" s="1">
        <v>399.6</v>
      </c>
      <c r="K124" s="1" t="s">
        <v>55</v>
      </c>
      <c r="L124" s="1" t="str">
        <f t="shared" si="3"/>
        <v>Apr</v>
      </c>
      <c r="M124" s="2">
        <f>(H124-_xlfn.XLOOKUP(D124,Product_Master!A:A,Product_Master!D:D))*G124</f>
        <v>312</v>
      </c>
      <c r="N124" s="13">
        <f t="shared" si="2"/>
        <v>0.78078078078078073</v>
      </c>
      <c r="O124" s="16">
        <f>G124/Inventory!$G$2</f>
        <v>0.21052631578947367</v>
      </c>
      <c r="P124"/>
      <c r="AA124"/>
      <c r="AB124"/>
      <c r="AC124"/>
    </row>
    <row r="125" spans="1:29">
      <c r="A125" s="1" t="s">
        <v>380</v>
      </c>
      <c r="B125" s="1" t="s">
        <v>213</v>
      </c>
      <c r="C125" s="1" t="s">
        <v>69</v>
      </c>
      <c r="D125" s="1" t="s">
        <v>24</v>
      </c>
      <c r="E125" s="1" t="s">
        <v>25</v>
      </c>
      <c r="F125" s="1" t="s">
        <v>146</v>
      </c>
      <c r="G125" s="1">
        <v>3</v>
      </c>
      <c r="H125" s="1">
        <v>96</v>
      </c>
      <c r="I125" s="1">
        <v>0</v>
      </c>
      <c r="J125" s="1">
        <v>288</v>
      </c>
      <c r="K125" s="1" t="s">
        <v>46</v>
      </c>
      <c r="L125" s="1" t="str">
        <f t="shared" si="3"/>
        <v>Apr</v>
      </c>
      <c r="M125" s="2">
        <f>(H125-_xlfn.XLOOKUP(D125,Product_Master!A:A,Product_Master!D:D))*G125</f>
        <v>72</v>
      </c>
      <c r="N125" s="13">
        <f t="shared" si="2"/>
        <v>0.25</v>
      </c>
      <c r="O125" s="16">
        <f>G125/Inventory!$G$2</f>
        <v>5.2631578947368418E-2</v>
      </c>
      <c r="P125"/>
      <c r="AA125"/>
      <c r="AB125"/>
      <c r="AC125"/>
    </row>
    <row r="126" spans="1:29">
      <c r="A126" s="1" t="s">
        <v>381</v>
      </c>
      <c r="B126" s="1" t="s">
        <v>94</v>
      </c>
      <c r="C126" s="1" t="s">
        <v>51</v>
      </c>
      <c r="D126" s="1" t="s">
        <v>177</v>
      </c>
      <c r="E126" s="1" t="s">
        <v>207</v>
      </c>
      <c r="F126" s="1" t="s">
        <v>146</v>
      </c>
      <c r="G126" s="1">
        <v>12</v>
      </c>
      <c r="H126" s="1">
        <v>145</v>
      </c>
      <c r="I126" s="1">
        <v>0</v>
      </c>
      <c r="J126" s="1">
        <v>1740</v>
      </c>
      <c r="K126" s="1" t="s">
        <v>215</v>
      </c>
      <c r="L126" s="1" t="str">
        <f t="shared" si="3"/>
        <v>Mar</v>
      </c>
      <c r="M126" s="2">
        <f>(H126-_xlfn.XLOOKUP(D126,Product_Master!A:A,Product_Master!D:D))*G126</f>
        <v>984</v>
      </c>
      <c r="N126" s="13">
        <f t="shared" si="2"/>
        <v>0.56551724137931036</v>
      </c>
      <c r="O126" s="16">
        <f>G126/Inventory!$G$2</f>
        <v>0.21052631578947367</v>
      </c>
      <c r="P126"/>
      <c r="AA126"/>
      <c r="AB126"/>
      <c r="AC126"/>
    </row>
    <row r="127" spans="1:29">
      <c r="A127" s="1" t="s">
        <v>382</v>
      </c>
      <c r="B127" s="1" t="s">
        <v>383</v>
      </c>
      <c r="C127" s="1" t="s">
        <v>222</v>
      </c>
      <c r="D127" s="1" t="s">
        <v>172</v>
      </c>
      <c r="E127" s="1" t="s">
        <v>202</v>
      </c>
      <c r="F127" s="1" t="s">
        <v>17</v>
      </c>
      <c r="G127" s="1">
        <v>3</v>
      </c>
      <c r="H127" s="1">
        <v>199</v>
      </c>
      <c r="I127" s="1">
        <v>5</v>
      </c>
      <c r="J127" s="1">
        <v>567.15</v>
      </c>
      <c r="K127" s="1" t="s">
        <v>235</v>
      </c>
      <c r="L127" s="1" t="str">
        <f t="shared" si="3"/>
        <v>Jun</v>
      </c>
      <c r="M127" s="2">
        <f>(H127-_xlfn.XLOOKUP(D127,Product_Master!A:A,Product_Master!D:D))*G127</f>
        <v>279</v>
      </c>
      <c r="N127" s="13">
        <f t="shared" si="2"/>
        <v>0.49193335096535312</v>
      </c>
      <c r="O127" s="16">
        <f>G127/Inventory!$G$2</f>
        <v>5.2631578947368418E-2</v>
      </c>
      <c r="P127"/>
      <c r="AA127"/>
      <c r="AB127"/>
      <c r="AC127"/>
    </row>
    <row r="128" spans="1:29">
      <c r="A128" s="1" t="s">
        <v>384</v>
      </c>
      <c r="B128" s="1" t="s">
        <v>130</v>
      </c>
      <c r="C128" s="1" t="s">
        <v>224</v>
      </c>
      <c r="D128" s="1" t="s">
        <v>176</v>
      </c>
      <c r="E128" s="1" t="s">
        <v>206</v>
      </c>
      <c r="F128" s="1" t="s">
        <v>146</v>
      </c>
      <c r="G128" s="1">
        <v>8</v>
      </c>
      <c r="H128" s="1">
        <v>181</v>
      </c>
      <c r="I128" s="1">
        <v>15</v>
      </c>
      <c r="J128" s="1">
        <v>1230.8</v>
      </c>
      <c r="K128" s="1" t="s">
        <v>49</v>
      </c>
      <c r="L128" s="1" t="str">
        <f t="shared" si="3"/>
        <v>Feb</v>
      </c>
      <c r="M128" s="2">
        <f>(H128-_xlfn.XLOOKUP(D128,Product_Master!A:A,Product_Master!D:D))*G128</f>
        <v>504</v>
      </c>
      <c r="N128" s="13">
        <f t="shared" si="2"/>
        <v>0.40948976275593113</v>
      </c>
      <c r="O128" s="16">
        <f>G128/Inventory!$G$2</f>
        <v>0.14035087719298245</v>
      </c>
      <c r="P128"/>
      <c r="AA128"/>
      <c r="AB128"/>
      <c r="AC128"/>
    </row>
    <row r="129" spans="1:29">
      <c r="A129" s="1" t="s">
        <v>385</v>
      </c>
      <c r="B129" s="1" t="s">
        <v>253</v>
      </c>
      <c r="C129" s="1" t="s">
        <v>72</v>
      </c>
      <c r="D129" s="1" t="s">
        <v>26</v>
      </c>
      <c r="E129" s="1" t="s">
        <v>27</v>
      </c>
      <c r="F129" s="1" t="s">
        <v>147</v>
      </c>
      <c r="G129" s="1">
        <v>9</v>
      </c>
      <c r="H129" s="1">
        <v>160</v>
      </c>
      <c r="I129" s="1">
        <v>15</v>
      </c>
      <c r="J129" s="1">
        <v>1224</v>
      </c>
      <c r="K129" s="1" t="s">
        <v>49</v>
      </c>
      <c r="L129" s="1" t="str">
        <f t="shared" si="3"/>
        <v>Mar</v>
      </c>
      <c r="M129" s="2">
        <f>(H129-_xlfn.XLOOKUP(D129,Product_Master!A:A,Product_Master!D:D))*G129</f>
        <v>594</v>
      </c>
      <c r="N129" s="13">
        <f t="shared" si="2"/>
        <v>0.48529411764705882</v>
      </c>
      <c r="O129" s="16">
        <f>G129/Inventory!$G$2</f>
        <v>0.15789473684210525</v>
      </c>
      <c r="P129"/>
      <c r="AA129"/>
      <c r="AB129"/>
      <c r="AC129"/>
    </row>
    <row r="130" spans="1:29">
      <c r="A130" s="1" t="s">
        <v>386</v>
      </c>
      <c r="B130" s="1" t="s">
        <v>123</v>
      </c>
      <c r="C130" s="1" t="s">
        <v>211</v>
      </c>
      <c r="D130" s="1" t="s">
        <v>163</v>
      </c>
      <c r="E130" s="1" t="s">
        <v>193</v>
      </c>
      <c r="F130" s="1" t="s">
        <v>146</v>
      </c>
      <c r="G130" s="1">
        <v>12</v>
      </c>
      <c r="H130" s="1">
        <v>82</v>
      </c>
      <c r="I130" s="1">
        <v>10</v>
      </c>
      <c r="J130" s="1">
        <v>885.6</v>
      </c>
      <c r="K130" s="1" t="s">
        <v>215</v>
      </c>
      <c r="L130" s="1" t="str">
        <f t="shared" si="3"/>
        <v>Jan</v>
      </c>
      <c r="M130" s="2">
        <f>(H130-_xlfn.XLOOKUP(D130,Product_Master!A:A,Product_Master!D:D))*G130</f>
        <v>480</v>
      </c>
      <c r="N130" s="13">
        <f t="shared" si="2"/>
        <v>0.54200542005420049</v>
      </c>
      <c r="O130" s="16">
        <f>G130/Inventory!$G$2</f>
        <v>0.21052631578947367</v>
      </c>
      <c r="P130"/>
      <c r="AA130"/>
      <c r="AB130"/>
      <c r="AC130"/>
    </row>
    <row r="131" spans="1:29">
      <c r="A131" s="1" t="s">
        <v>387</v>
      </c>
      <c r="B131" s="1" t="s">
        <v>59</v>
      </c>
      <c r="C131" s="1" t="s">
        <v>57</v>
      </c>
      <c r="D131" s="1" t="s">
        <v>167</v>
      </c>
      <c r="E131" s="1" t="s">
        <v>197</v>
      </c>
      <c r="F131" s="1" t="s">
        <v>17</v>
      </c>
      <c r="G131" s="1">
        <v>12</v>
      </c>
      <c r="H131" s="1">
        <v>135</v>
      </c>
      <c r="I131" s="1">
        <v>0</v>
      </c>
      <c r="J131" s="1">
        <v>1620</v>
      </c>
      <c r="K131" s="1" t="s">
        <v>215</v>
      </c>
      <c r="L131" s="1" t="str">
        <f t="shared" si="3"/>
        <v>Apr</v>
      </c>
      <c r="M131" s="2">
        <f>(H131-_xlfn.XLOOKUP(D131,Product_Master!A:A,Product_Master!D:D))*G131</f>
        <v>960</v>
      </c>
      <c r="N131" s="13">
        <f t="shared" ref="N131:N194" si="4">M131/J131</f>
        <v>0.59259259259259256</v>
      </c>
      <c r="O131" s="16">
        <f>G131/Inventory!$G$2</f>
        <v>0.21052631578947367</v>
      </c>
      <c r="P131"/>
      <c r="AA131"/>
      <c r="AB131"/>
      <c r="AC131"/>
    </row>
    <row r="132" spans="1:29">
      <c r="A132" s="1" t="s">
        <v>388</v>
      </c>
      <c r="B132" s="1" t="s">
        <v>305</v>
      </c>
      <c r="C132" s="1" t="s">
        <v>222</v>
      </c>
      <c r="D132" s="1" t="s">
        <v>8</v>
      </c>
      <c r="E132" s="1" t="s">
        <v>9</v>
      </c>
      <c r="F132" s="1" t="s">
        <v>10</v>
      </c>
      <c r="G132" s="1">
        <v>8</v>
      </c>
      <c r="H132" s="1">
        <v>146</v>
      </c>
      <c r="I132" s="1">
        <v>10</v>
      </c>
      <c r="J132" s="1">
        <v>1051.2</v>
      </c>
      <c r="K132" s="1" t="s">
        <v>55</v>
      </c>
      <c r="L132" s="1" t="str">
        <f t="shared" ref="L132:L195" si="5">TEXT(B132,"mmm")</f>
        <v>Feb</v>
      </c>
      <c r="M132" s="2">
        <f>(H132-_xlfn.XLOOKUP(D132,Product_Master!A:A,Product_Master!D:D))*G132</f>
        <v>400</v>
      </c>
      <c r="N132" s="13">
        <f t="shared" si="4"/>
        <v>0.38051750380517502</v>
      </c>
      <c r="O132" s="16">
        <f>G132/Inventory!$G$2</f>
        <v>0.14035087719298245</v>
      </c>
      <c r="P132"/>
      <c r="AA132"/>
      <c r="AB132"/>
      <c r="AC132"/>
    </row>
    <row r="133" spans="1:29">
      <c r="A133" s="1" t="s">
        <v>389</v>
      </c>
      <c r="B133" s="1" t="s">
        <v>233</v>
      </c>
      <c r="C133" s="1" t="s">
        <v>224</v>
      </c>
      <c r="D133" s="1" t="s">
        <v>166</v>
      </c>
      <c r="E133" s="1" t="s">
        <v>196</v>
      </c>
      <c r="F133" s="1" t="s">
        <v>7</v>
      </c>
      <c r="G133" s="1">
        <v>10</v>
      </c>
      <c r="H133" s="1">
        <v>100</v>
      </c>
      <c r="I133" s="1">
        <v>0</v>
      </c>
      <c r="J133" s="1">
        <v>1000</v>
      </c>
      <c r="K133" s="1" t="s">
        <v>46</v>
      </c>
      <c r="L133" s="1" t="str">
        <f t="shared" si="5"/>
        <v>Jun</v>
      </c>
      <c r="M133" s="2">
        <f>(H133-_xlfn.XLOOKUP(D133,Product_Master!A:A,Product_Master!D:D))*G133</f>
        <v>220</v>
      </c>
      <c r="N133" s="13">
        <f t="shared" si="4"/>
        <v>0.22</v>
      </c>
      <c r="O133" s="16">
        <f>G133/Inventory!$G$2</f>
        <v>0.17543859649122806</v>
      </c>
      <c r="P133"/>
      <c r="AA133"/>
      <c r="AB133"/>
      <c r="AC133"/>
    </row>
    <row r="134" spans="1:29">
      <c r="A134" s="1" t="s">
        <v>390</v>
      </c>
      <c r="B134" s="1" t="s">
        <v>241</v>
      </c>
      <c r="C134" s="1" t="s">
        <v>65</v>
      </c>
      <c r="D134" s="1" t="s">
        <v>169</v>
      </c>
      <c r="E134" s="1" t="s">
        <v>199</v>
      </c>
      <c r="F134" s="1" t="s">
        <v>10</v>
      </c>
      <c r="G134" s="1">
        <v>14</v>
      </c>
      <c r="H134" s="1">
        <v>130</v>
      </c>
      <c r="I134" s="1">
        <v>15</v>
      </c>
      <c r="J134" s="1">
        <v>1547</v>
      </c>
      <c r="K134" s="1" t="s">
        <v>76</v>
      </c>
      <c r="L134" s="1" t="str">
        <f t="shared" si="5"/>
        <v>May</v>
      </c>
      <c r="M134" s="2">
        <f>(H134-_xlfn.XLOOKUP(D134,Product_Master!A:A,Product_Master!D:D))*G134</f>
        <v>630</v>
      </c>
      <c r="N134" s="13">
        <f t="shared" si="4"/>
        <v>0.40723981900452488</v>
      </c>
      <c r="O134" s="16">
        <f>G134/Inventory!$G$2</f>
        <v>0.24561403508771928</v>
      </c>
      <c r="P134"/>
      <c r="AA134"/>
      <c r="AB134"/>
      <c r="AC134"/>
    </row>
    <row r="135" spans="1:29">
      <c r="A135" s="1" t="s">
        <v>391</v>
      </c>
      <c r="B135" s="1" t="s">
        <v>392</v>
      </c>
      <c r="C135" s="1" t="s">
        <v>54</v>
      </c>
      <c r="D135" s="1" t="s">
        <v>164</v>
      </c>
      <c r="E135" s="1" t="s">
        <v>194</v>
      </c>
      <c r="F135" s="1" t="s">
        <v>147</v>
      </c>
      <c r="G135" s="1">
        <v>7</v>
      </c>
      <c r="H135" s="1">
        <v>135</v>
      </c>
      <c r="I135" s="1">
        <v>0</v>
      </c>
      <c r="J135" s="1">
        <v>945</v>
      </c>
      <c r="K135" s="1" t="s">
        <v>46</v>
      </c>
      <c r="L135" s="1" t="str">
        <f t="shared" si="5"/>
        <v>Jan</v>
      </c>
      <c r="M135" s="2">
        <f>(H135-_xlfn.XLOOKUP(D135,Product_Master!A:A,Product_Master!D:D))*G135</f>
        <v>301</v>
      </c>
      <c r="N135" s="13">
        <f t="shared" si="4"/>
        <v>0.31851851851851853</v>
      </c>
      <c r="O135" s="16">
        <f>G135/Inventory!$G$2</f>
        <v>0.12280701754385964</v>
      </c>
      <c r="P135"/>
      <c r="AA135"/>
      <c r="AB135"/>
      <c r="AC135"/>
    </row>
    <row r="136" spans="1:29">
      <c r="A136" s="1" t="s">
        <v>393</v>
      </c>
      <c r="B136" s="1" t="s">
        <v>394</v>
      </c>
      <c r="C136" s="1" t="s">
        <v>69</v>
      </c>
      <c r="D136" s="1" t="s">
        <v>168</v>
      </c>
      <c r="E136" s="1" t="s">
        <v>198</v>
      </c>
      <c r="F136" s="1" t="s">
        <v>17</v>
      </c>
      <c r="G136" s="1">
        <v>1</v>
      </c>
      <c r="H136" s="1">
        <v>119</v>
      </c>
      <c r="I136" s="1">
        <v>10</v>
      </c>
      <c r="J136" s="1">
        <v>107.1</v>
      </c>
      <c r="K136" s="1" t="s">
        <v>46</v>
      </c>
      <c r="L136" s="1" t="str">
        <f t="shared" si="5"/>
        <v>Jun</v>
      </c>
      <c r="M136" s="2">
        <f>(H136-_xlfn.XLOOKUP(D136,Product_Master!A:A,Product_Master!D:D))*G136</f>
        <v>47</v>
      </c>
      <c r="N136" s="13">
        <f t="shared" si="4"/>
        <v>0.43884220354808595</v>
      </c>
      <c r="O136" s="16">
        <f>G136/Inventory!$G$2</f>
        <v>1.7543859649122806E-2</v>
      </c>
      <c r="P136"/>
      <c r="AA136"/>
      <c r="AB136"/>
      <c r="AC136"/>
    </row>
    <row r="137" spans="1:29">
      <c r="A137" s="1" t="s">
        <v>395</v>
      </c>
      <c r="B137" s="1" t="s">
        <v>81</v>
      </c>
      <c r="C137" s="1" t="s">
        <v>48</v>
      </c>
      <c r="D137" s="1" t="s">
        <v>174</v>
      </c>
      <c r="E137" s="1" t="s">
        <v>204</v>
      </c>
      <c r="F137" s="1" t="s">
        <v>7</v>
      </c>
      <c r="G137" s="1">
        <v>3</v>
      </c>
      <c r="H137" s="1">
        <v>160</v>
      </c>
      <c r="I137" s="1">
        <v>0</v>
      </c>
      <c r="J137" s="1">
        <v>480</v>
      </c>
      <c r="K137" s="1" t="s">
        <v>55</v>
      </c>
      <c r="L137" s="1" t="str">
        <f t="shared" si="5"/>
        <v>Apr</v>
      </c>
      <c r="M137" s="2">
        <f>(H137-_xlfn.XLOOKUP(D137,Product_Master!A:A,Product_Master!D:D))*G137</f>
        <v>165</v>
      </c>
      <c r="N137" s="13">
        <f t="shared" si="4"/>
        <v>0.34375</v>
      </c>
      <c r="O137" s="16">
        <f>G137/Inventory!$G$2</f>
        <v>5.2631578947368418E-2</v>
      </c>
      <c r="P137"/>
      <c r="AA137"/>
      <c r="AB137"/>
      <c r="AC137"/>
    </row>
    <row r="138" spans="1:29">
      <c r="A138" s="1" t="s">
        <v>396</v>
      </c>
      <c r="B138" s="1" t="s">
        <v>131</v>
      </c>
      <c r="C138" s="1" t="s">
        <v>57</v>
      </c>
      <c r="D138" s="1" t="s">
        <v>160</v>
      </c>
      <c r="E138" s="1" t="s">
        <v>190</v>
      </c>
      <c r="F138" s="1" t="s">
        <v>7</v>
      </c>
      <c r="G138" s="1">
        <v>6</v>
      </c>
      <c r="H138" s="1">
        <v>37</v>
      </c>
      <c r="I138" s="1">
        <v>10</v>
      </c>
      <c r="J138" s="1">
        <v>199.8</v>
      </c>
      <c r="K138" s="1" t="s">
        <v>55</v>
      </c>
      <c r="L138" s="1" t="str">
        <f t="shared" si="5"/>
        <v>Jan</v>
      </c>
      <c r="M138" s="2">
        <f>(H138-_xlfn.XLOOKUP(D138,Product_Master!A:A,Product_Master!D:D))*G138</f>
        <v>156</v>
      </c>
      <c r="N138" s="13">
        <f t="shared" si="4"/>
        <v>0.78078078078078073</v>
      </c>
      <c r="O138" s="16">
        <f>G138/Inventory!$G$2</f>
        <v>0.10526315789473684</v>
      </c>
      <c r="P138"/>
      <c r="AA138"/>
      <c r="AB138"/>
      <c r="AC138"/>
    </row>
    <row r="139" spans="1:29">
      <c r="A139" s="1" t="s">
        <v>397</v>
      </c>
      <c r="B139" s="1" t="s">
        <v>101</v>
      </c>
      <c r="C139" s="1" t="s">
        <v>211</v>
      </c>
      <c r="D139" s="1" t="s">
        <v>158</v>
      </c>
      <c r="E139" s="1" t="s">
        <v>188</v>
      </c>
      <c r="F139" s="1" t="s">
        <v>10</v>
      </c>
      <c r="G139" s="1">
        <v>10</v>
      </c>
      <c r="H139" s="1">
        <v>65</v>
      </c>
      <c r="I139" s="1">
        <v>5</v>
      </c>
      <c r="J139" s="1">
        <v>617.5</v>
      </c>
      <c r="K139" s="1" t="s">
        <v>235</v>
      </c>
      <c r="L139" s="1" t="str">
        <f t="shared" si="5"/>
        <v>Jan</v>
      </c>
      <c r="M139" s="2">
        <f>(H139-_xlfn.XLOOKUP(D139,Product_Master!A:A,Product_Master!D:D))*G139</f>
        <v>220</v>
      </c>
      <c r="N139" s="13">
        <f t="shared" si="4"/>
        <v>0.35627530364372467</v>
      </c>
      <c r="O139" s="16">
        <f>G139/Inventory!$G$2</f>
        <v>0.17543859649122806</v>
      </c>
      <c r="P139"/>
      <c r="AA139"/>
      <c r="AB139"/>
      <c r="AC139"/>
    </row>
    <row r="140" spans="1:29">
      <c r="A140" s="1" t="s">
        <v>398</v>
      </c>
      <c r="B140" s="1" t="s">
        <v>329</v>
      </c>
      <c r="C140" s="1" t="s">
        <v>48</v>
      </c>
      <c r="D140" s="1" t="s">
        <v>22</v>
      </c>
      <c r="E140" s="1" t="s">
        <v>23</v>
      </c>
      <c r="F140" s="1" t="s">
        <v>10</v>
      </c>
      <c r="G140" s="1">
        <v>10</v>
      </c>
      <c r="H140" s="1">
        <v>76</v>
      </c>
      <c r="I140" s="1">
        <v>5</v>
      </c>
      <c r="J140" s="1">
        <v>722</v>
      </c>
      <c r="K140" s="1" t="s">
        <v>49</v>
      </c>
      <c r="L140" s="1" t="str">
        <f t="shared" si="5"/>
        <v>Jun</v>
      </c>
      <c r="M140" s="2">
        <f>(H140-_xlfn.XLOOKUP(D140,Product_Master!A:A,Product_Master!D:D))*G140</f>
        <v>300</v>
      </c>
      <c r="N140" s="13">
        <f t="shared" si="4"/>
        <v>0.41551246537396119</v>
      </c>
      <c r="O140" s="16">
        <f>G140/Inventory!$G$2</f>
        <v>0.17543859649122806</v>
      </c>
      <c r="P140"/>
      <c r="AA140"/>
      <c r="AB140"/>
      <c r="AC140"/>
    </row>
    <row r="141" spans="1:29">
      <c r="A141" s="1" t="s">
        <v>399</v>
      </c>
      <c r="B141" s="1" t="s">
        <v>400</v>
      </c>
      <c r="C141" s="1" t="s">
        <v>54</v>
      </c>
      <c r="D141" s="1" t="s">
        <v>24</v>
      </c>
      <c r="E141" s="1" t="s">
        <v>25</v>
      </c>
      <c r="F141" s="1" t="s">
        <v>146</v>
      </c>
      <c r="G141" s="1">
        <v>14</v>
      </c>
      <c r="H141" s="1">
        <v>96</v>
      </c>
      <c r="I141" s="1">
        <v>15</v>
      </c>
      <c r="J141" s="1">
        <v>1142.4000000000001</v>
      </c>
      <c r="K141" s="1" t="s">
        <v>235</v>
      </c>
      <c r="L141" s="1" t="str">
        <f t="shared" si="5"/>
        <v>Jun</v>
      </c>
      <c r="M141" s="2">
        <f>(H141-_xlfn.XLOOKUP(D141,Product_Master!A:A,Product_Master!D:D))*G141</f>
        <v>336</v>
      </c>
      <c r="N141" s="13">
        <f t="shared" si="4"/>
        <v>0.29411764705882348</v>
      </c>
      <c r="O141" s="16">
        <f>G141/Inventory!$G$2</f>
        <v>0.24561403508771928</v>
      </c>
      <c r="P141"/>
      <c r="AA141"/>
      <c r="AB141"/>
      <c r="AC141"/>
    </row>
    <row r="142" spans="1:29">
      <c r="A142" s="1" t="s">
        <v>401</v>
      </c>
      <c r="B142" s="1" t="s">
        <v>130</v>
      </c>
      <c r="C142" s="1" t="s">
        <v>54</v>
      </c>
      <c r="D142" s="1" t="s">
        <v>158</v>
      </c>
      <c r="E142" s="1" t="s">
        <v>188</v>
      </c>
      <c r="F142" s="1" t="s">
        <v>10</v>
      </c>
      <c r="G142" s="1">
        <v>8</v>
      </c>
      <c r="H142" s="1">
        <v>65</v>
      </c>
      <c r="I142" s="1">
        <v>10</v>
      </c>
      <c r="J142" s="1">
        <v>468</v>
      </c>
      <c r="K142" s="1" t="s">
        <v>49</v>
      </c>
      <c r="L142" s="1" t="str">
        <f t="shared" si="5"/>
        <v>Feb</v>
      </c>
      <c r="M142" s="2">
        <f>(H142-_xlfn.XLOOKUP(D142,Product_Master!A:A,Product_Master!D:D))*G142</f>
        <v>176</v>
      </c>
      <c r="N142" s="13">
        <f t="shared" si="4"/>
        <v>0.37606837606837606</v>
      </c>
      <c r="O142" s="16">
        <f>G142/Inventory!$G$2</f>
        <v>0.14035087719298245</v>
      </c>
      <c r="P142"/>
      <c r="AA142"/>
      <c r="AB142"/>
      <c r="AC142"/>
    </row>
    <row r="143" spans="1:29">
      <c r="A143" s="1" t="s">
        <v>402</v>
      </c>
      <c r="B143" s="1" t="s">
        <v>129</v>
      </c>
      <c r="C143" s="1" t="s">
        <v>57</v>
      </c>
      <c r="D143" s="1" t="s">
        <v>152</v>
      </c>
      <c r="E143" s="1" t="s">
        <v>182</v>
      </c>
      <c r="F143" s="1" t="s">
        <v>146</v>
      </c>
      <c r="G143" s="1">
        <v>8</v>
      </c>
      <c r="H143" s="1">
        <v>158</v>
      </c>
      <c r="I143" s="1">
        <v>15</v>
      </c>
      <c r="J143" s="1">
        <v>1074.4000000000001</v>
      </c>
      <c r="K143" s="1" t="s">
        <v>49</v>
      </c>
      <c r="L143" s="1" t="str">
        <f t="shared" si="5"/>
        <v>Feb</v>
      </c>
      <c r="M143" s="2">
        <f>(H143-_xlfn.XLOOKUP(D143,Product_Master!A:A,Product_Master!D:D))*G143</f>
        <v>760</v>
      </c>
      <c r="N143" s="13">
        <f t="shared" si="4"/>
        <v>0.70737155621742365</v>
      </c>
      <c r="O143" s="16">
        <f>G143/Inventory!$G$2</f>
        <v>0.14035087719298245</v>
      </c>
      <c r="P143"/>
      <c r="AA143"/>
      <c r="AB143"/>
      <c r="AC143"/>
    </row>
    <row r="144" spans="1:29">
      <c r="A144" s="1" t="s">
        <v>403</v>
      </c>
      <c r="B144" s="1" t="s">
        <v>137</v>
      </c>
      <c r="C144" s="1" t="s">
        <v>69</v>
      </c>
      <c r="D144" s="1" t="s">
        <v>156</v>
      </c>
      <c r="E144" s="1" t="s">
        <v>186</v>
      </c>
      <c r="F144" s="1" t="s">
        <v>147</v>
      </c>
      <c r="G144" s="1">
        <v>14</v>
      </c>
      <c r="H144" s="1">
        <v>95</v>
      </c>
      <c r="I144" s="1">
        <v>0</v>
      </c>
      <c r="J144" s="1">
        <v>1330</v>
      </c>
      <c r="K144" s="1" t="s">
        <v>55</v>
      </c>
      <c r="L144" s="1" t="str">
        <f t="shared" si="5"/>
        <v>Mar</v>
      </c>
      <c r="M144" s="2">
        <f>(H144-_xlfn.XLOOKUP(D144,Product_Master!A:A,Product_Master!D:D))*G144</f>
        <v>1036</v>
      </c>
      <c r="N144" s="13">
        <f t="shared" si="4"/>
        <v>0.77894736842105261</v>
      </c>
      <c r="O144" s="16">
        <f>G144/Inventory!$G$2</f>
        <v>0.24561403508771928</v>
      </c>
      <c r="P144"/>
      <c r="AA144"/>
      <c r="AB144"/>
      <c r="AC144"/>
    </row>
    <row r="145" spans="1:29">
      <c r="A145" s="1" t="s">
        <v>404</v>
      </c>
      <c r="B145" s="1" t="s">
        <v>405</v>
      </c>
      <c r="C145" s="1" t="s">
        <v>57</v>
      </c>
      <c r="D145" s="1" t="s">
        <v>176</v>
      </c>
      <c r="E145" s="1" t="s">
        <v>206</v>
      </c>
      <c r="F145" s="1" t="s">
        <v>146</v>
      </c>
      <c r="G145" s="1">
        <v>8</v>
      </c>
      <c r="H145" s="1">
        <v>181</v>
      </c>
      <c r="I145" s="1">
        <v>10</v>
      </c>
      <c r="J145" s="1">
        <v>1303.2</v>
      </c>
      <c r="K145" s="1" t="s">
        <v>76</v>
      </c>
      <c r="L145" s="1" t="str">
        <f t="shared" si="5"/>
        <v>Jan</v>
      </c>
      <c r="M145" s="2">
        <f>(H145-_xlfn.XLOOKUP(D145,Product_Master!A:A,Product_Master!D:D))*G145</f>
        <v>504</v>
      </c>
      <c r="N145" s="13">
        <f t="shared" si="4"/>
        <v>0.38674033149171272</v>
      </c>
      <c r="O145" s="16">
        <f>G145/Inventory!$G$2</f>
        <v>0.14035087719298245</v>
      </c>
      <c r="P145"/>
      <c r="AA145"/>
      <c r="AB145"/>
      <c r="AC145"/>
    </row>
    <row r="146" spans="1:29">
      <c r="A146" s="1" t="s">
        <v>406</v>
      </c>
      <c r="B146" s="1" t="s">
        <v>407</v>
      </c>
      <c r="C146" s="1" t="s">
        <v>69</v>
      </c>
      <c r="D146" s="1" t="s">
        <v>167</v>
      </c>
      <c r="E146" s="1" t="s">
        <v>197</v>
      </c>
      <c r="F146" s="1" t="s">
        <v>17</v>
      </c>
      <c r="G146" s="1">
        <v>2</v>
      </c>
      <c r="H146" s="1">
        <v>135</v>
      </c>
      <c r="I146" s="1">
        <v>5</v>
      </c>
      <c r="J146" s="1">
        <v>256.5</v>
      </c>
      <c r="K146" s="1" t="s">
        <v>235</v>
      </c>
      <c r="L146" s="1" t="str">
        <f t="shared" si="5"/>
        <v>May</v>
      </c>
      <c r="M146" s="2">
        <f>(H146-_xlfn.XLOOKUP(D146,Product_Master!A:A,Product_Master!D:D))*G146</f>
        <v>160</v>
      </c>
      <c r="N146" s="13">
        <f t="shared" si="4"/>
        <v>0.62378167641325533</v>
      </c>
      <c r="O146" s="16">
        <f>G146/Inventory!$G$2</f>
        <v>3.5087719298245612E-2</v>
      </c>
      <c r="P146"/>
      <c r="AA146"/>
      <c r="AB146"/>
      <c r="AC146"/>
    </row>
    <row r="147" spans="1:29">
      <c r="A147" s="1" t="s">
        <v>408</v>
      </c>
      <c r="B147" s="1" t="s">
        <v>138</v>
      </c>
      <c r="C147" s="1" t="s">
        <v>65</v>
      </c>
      <c r="D147" s="1" t="s">
        <v>174</v>
      </c>
      <c r="E147" s="1" t="s">
        <v>204</v>
      </c>
      <c r="F147" s="1" t="s">
        <v>7</v>
      </c>
      <c r="G147" s="1">
        <v>2</v>
      </c>
      <c r="H147" s="1">
        <v>160</v>
      </c>
      <c r="I147" s="1">
        <v>10</v>
      </c>
      <c r="J147" s="1">
        <v>288</v>
      </c>
      <c r="K147" s="1" t="s">
        <v>235</v>
      </c>
      <c r="L147" s="1" t="str">
        <f t="shared" si="5"/>
        <v>Apr</v>
      </c>
      <c r="M147" s="2">
        <f>(H147-_xlfn.XLOOKUP(D147,Product_Master!A:A,Product_Master!D:D))*G147</f>
        <v>110</v>
      </c>
      <c r="N147" s="13">
        <f t="shared" si="4"/>
        <v>0.38194444444444442</v>
      </c>
      <c r="O147" s="16">
        <f>G147/Inventory!$G$2</f>
        <v>3.5087719298245612E-2</v>
      </c>
      <c r="P147"/>
      <c r="AA147"/>
      <c r="AB147"/>
      <c r="AC147"/>
    </row>
    <row r="148" spans="1:29">
      <c r="A148" s="1" t="s">
        <v>409</v>
      </c>
      <c r="B148" s="1" t="s">
        <v>135</v>
      </c>
      <c r="C148" s="1" t="s">
        <v>51</v>
      </c>
      <c r="D148" s="1" t="s">
        <v>149</v>
      </c>
      <c r="E148" s="1" t="s">
        <v>179</v>
      </c>
      <c r="F148" s="1" t="s">
        <v>17</v>
      </c>
      <c r="G148" s="1">
        <v>2</v>
      </c>
      <c r="H148" s="1">
        <v>98</v>
      </c>
      <c r="I148" s="1">
        <v>10</v>
      </c>
      <c r="J148" s="1">
        <v>176.4</v>
      </c>
      <c r="K148" s="1" t="s">
        <v>46</v>
      </c>
      <c r="L148" s="1" t="str">
        <f t="shared" si="5"/>
        <v>Feb</v>
      </c>
      <c r="M148" s="2">
        <f>(H148-_xlfn.XLOOKUP(D148,Product_Master!A:A,Product_Master!D:D))*G148</f>
        <v>44</v>
      </c>
      <c r="N148" s="13">
        <f t="shared" si="4"/>
        <v>0.24943310657596371</v>
      </c>
      <c r="O148" s="16">
        <f>G148/Inventory!$G$2</f>
        <v>3.5087719298245612E-2</v>
      </c>
      <c r="P148"/>
      <c r="AA148"/>
      <c r="AB148"/>
      <c r="AC148"/>
    </row>
    <row r="149" spans="1:29">
      <c r="A149" s="1" t="s">
        <v>410</v>
      </c>
      <c r="B149" s="1" t="s">
        <v>59</v>
      </c>
      <c r="C149" s="1" t="s">
        <v>211</v>
      </c>
      <c r="D149" s="1" t="s">
        <v>175</v>
      </c>
      <c r="E149" s="1" t="s">
        <v>205</v>
      </c>
      <c r="F149" s="1" t="s">
        <v>10</v>
      </c>
      <c r="G149" s="1">
        <v>4</v>
      </c>
      <c r="H149" s="1">
        <v>113</v>
      </c>
      <c r="I149" s="1">
        <v>0</v>
      </c>
      <c r="J149" s="1">
        <v>452</v>
      </c>
      <c r="K149" s="1" t="s">
        <v>49</v>
      </c>
      <c r="L149" s="1" t="str">
        <f t="shared" si="5"/>
        <v>Apr</v>
      </c>
      <c r="M149" s="2">
        <f>(H149-_xlfn.XLOOKUP(D149,Product_Master!A:A,Product_Master!D:D))*G149</f>
        <v>200</v>
      </c>
      <c r="N149" s="13">
        <f t="shared" si="4"/>
        <v>0.44247787610619471</v>
      </c>
      <c r="O149" s="16">
        <f>G149/Inventory!$G$2</f>
        <v>7.0175438596491224E-2</v>
      </c>
      <c r="P149"/>
      <c r="AA149"/>
      <c r="AB149"/>
      <c r="AC149"/>
    </row>
    <row r="150" spans="1:29">
      <c r="A150" s="1" t="s">
        <v>411</v>
      </c>
      <c r="B150" s="1" t="s">
        <v>412</v>
      </c>
      <c r="C150" s="1" t="s">
        <v>222</v>
      </c>
      <c r="D150" s="1" t="s">
        <v>165</v>
      </c>
      <c r="E150" s="1" t="s">
        <v>195</v>
      </c>
      <c r="F150" s="1" t="s">
        <v>147</v>
      </c>
      <c r="G150" s="1">
        <v>5</v>
      </c>
      <c r="H150" s="1">
        <v>109</v>
      </c>
      <c r="I150" s="1">
        <v>0</v>
      </c>
      <c r="J150" s="1">
        <v>545</v>
      </c>
      <c r="K150" s="1" t="s">
        <v>235</v>
      </c>
      <c r="L150" s="1" t="str">
        <f t="shared" si="5"/>
        <v>Apr</v>
      </c>
      <c r="M150" s="2">
        <f>(H150-_xlfn.XLOOKUP(D150,Product_Master!A:A,Product_Master!D:D))*G150</f>
        <v>275</v>
      </c>
      <c r="N150" s="13">
        <f t="shared" si="4"/>
        <v>0.50458715596330272</v>
      </c>
      <c r="O150" s="16">
        <f>G150/Inventory!$G$2</f>
        <v>8.771929824561403E-2</v>
      </c>
      <c r="P150"/>
      <c r="AA150"/>
      <c r="AB150"/>
      <c r="AC150"/>
    </row>
    <row r="151" spans="1:29">
      <c r="A151" s="1" t="s">
        <v>413</v>
      </c>
      <c r="B151" s="1" t="s">
        <v>97</v>
      </c>
      <c r="C151" s="1" t="s">
        <v>224</v>
      </c>
      <c r="D151" s="1" t="s">
        <v>22</v>
      </c>
      <c r="E151" s="1" t="s">
        <v>23</v>
      </c>
      <c r="F151" s="1" t="s">
        <v>10</v>
      </c>
      <c r="G151" s="1">
        <v>10</v>
      </c>
      <c r="H151" s="1">
        <v>76</v>
      </c>
      <c r="I151" s="1">
        <v>15</v>
      </c>
      <c r="J151" s="1">
        <v>646</v>
      </c>
      <c r="K151" s="1" t="s">
        <v>76</v>
      </c>
      <c r="L151" s="1" t="str">
        <f t="shared" si="5"/>
        <v>Mar</v>
      </c>
      <c r="M151" s="2">
        <f>(H151-_xlfn.XLOOKUP(D151,Product_Master!A:A,Product_Master!D:D))*G151</f>
        <v>300</v>
      </c>
      <c r="N151" s="13">
        <f t="shared" si="4"/>
        <v>0.46439628482972134</v>
      </c>
      <c r="O151" s="16">
        <f>G151/Inventory!$G$2</f>
        <v>0.17543859649122806</v>
      </c>
      <c r="P151"/>
      <c r="AA151"/>
      <c r="AB151"/>
      <c r="AC151"/>
    </row>
    <row r="152" spans="1:29">
      <c r="A152" s="1" t="s">
        <v>414</v>
      </c>
      <c r="B152" s="1" t="s">
        <v>145</v>
      </c>
      <c r="C152" s="1" t="s">
        <v>224</v>
      </c>
      <c r="D152" s="1" t="s">
        <v>172</v>
      </c>
      <c r="E152" s="1" t="s">
        <v>202</v>
      </c>
      <c r="F152" s="1" t="s">
        <v>17</v>
      </c>
      <c r="G152" s="1">
        <v>9</v>
      </c>
      <c r="H152" s="1">
        <v>199</v>
      </c>
      <c r="I152" s="1">
        <v>15</v>
      </c>
      <c r="J152" s="1">
        <v>1522.35</v>
      </c>
      <c r="K152" s="1" t="s">
        <v>55</v>
      </c>
      <c r="L152" s="1" t="str">
        <f t="shared" si="5"/>
        <v>Mar</v>
      </c>
      <c r="M152" s="2">
        <f>(H152-_xlfn.XLOOKUP(D152,Product_Master!A:A,Product_Master!D:D))*G152</f>
        <v>837</v>
      </c>
      <c r="N152" s="13">
        <f t="shared" si="4"/>
        <v>0.54980786284362992</v>
      </c>
      <c r="O152" s="16">
        <f>G152/Inventory!$G$2</f>
        <v>0.15789473684210525</v>
      </c>
      <c r="P152"/>
      <c r="AA152"/>
      <c r="AB152"/>
      <c r="AC152"/>
    </row>
    <row r="153" spans="1:29">
      <c r="A153" s="1" t="s">
        <v>415</v>
      </c>
      <c r="B153" s="1" t="s">
        <v>270</v>
      </c>
      <c r="C153" s="1" t="s">
        <v>48</v>
      </c>
      <c r="D153" s="1" t="s">
        <v>165</v>
      </c>
      <c r="E153" s="1" t="s">
        <v>195</v>
      </c>
      <c r="F153" s="1" t="s">
        <v>147</v>
      </c>
      <c r="G153" s="1">
        <v>3</v>
      </c>
      <c r="H153" s="1">
        <v>109</v>
      </c>
      <c r="I153" s="1">
        <v>5</v>
      </c>
      <c r="J153" s="1">
        <v>310.64999999999998</v>
      </c>
      <c r="K153" s="1" t="s">
        <v>49</v>
      </c>
      <c r="L153" s="1" t="str">
        <f t="shared" si="5"/>
        <v>May</v>
      </c>
      <c r="M153" s="2">
        <f>(H153-_xlfn.XLOOKUP(D153,Product_Master!A:A,Product_Master!D:D))*G153</f>
        <v>165</v>
      </c>
      <c r="N153" s="13">
        <f t="shared" si="4"/>
        <v>0.53114437469821352</v>
      </c>
      <c r="O153" s="16">
        <f>G153/Inventory!$G$2</f>
        <v>5.2631578947368418E-2</v>
      </c>
      <c r="P153"/>
      <c r="AA153"/>
      <c r="AB153"/>
      <c r="AC153"/>
    </row>
    <row r="154" spans="1:29">
      <c r="A154" s="1" t="s">
        <v>416</v>
      </c>
      <c r="B154" s="1" t="s">
        <v>293</v>
      </c>
      <c r="C154" s="1" t="s">
        <v>72</v>
      </c>
      <c r="D154" s="1" t="s">
        <v>26</v>
      </c>
      <c r="E154" s="1" t="s">
        <v>27</v>
      </c>
      <c r="F154" s="1" t="s">
        <v>147</v>
      </c>
      <c r="G154" s="1">
        <v>14</v>
      </c>
      <c r="H154" s="1">
        <v>160</v>
      </c>
      <c r="I154" s="1">
        <v>15</v>
      </c>
      <c r="J154" s="1">
        <v>1904</v>
      </c>
      <c r="K154" s="1" t="s">
        <v>235</v>
      </c>
      <c r="L154" s="1" t="str">
        <f t="shared" si="5"/>
        <v>Mar</v>
      </c>
      <c r="M154" s="2">
        <f>(H154-_xlfn.XLOOKUP(D154,Product_Master!A:A,Product_Master!D:D))*G154</f>
        <v>924</v>
      </c>
      <c r="N154" s="13">
        <f t="shared" si="4"/>
        <v>0.48529411764705882</v>
      </c>
      <c r="O154" s="16">
        <f>G154/Inventory!$G$2</f>
        <v>0.24561403508771928</v>
      </c>
      <c r="P154"/>
      <c r="AA154"/>
      <c r="AB154"/>
      <c r="AC154"/>
    </row>
    <row r="155" spans="1:29">
      <c r="A155" s="1" t="s">
        <v>417</v>
      </c>
      <c r="B155" s="1" t="s">
        <v>130</v>
      </c>
      <c r="C155" s="1" t="s">
        <v>45</v>
      </c>
      <c r="D155" s="1" t="s">
        <v>165</v>
      </c>
      <c r="E155" s="1" t="s">
        <v>195</v>
      </c>
      <c r="F155" s="1" t="s">
        <v>147</v>
      </c>
      <c r="G155" s="1">
        <v>1</v>
      </c>
      <c r="H155" s="1">
        <v>109</v>
      </c>
      <c r="I155" s="1">
        <v>5</v>
      </c>
      <c r="J155" s="1">
        <v>103.55</v>
      </c>
      <c r="K155" s="1" t="s">
        <v>49</v>
      </c>
      <c r="L155" s="1" t="str">
        <f t="shared" si="5"/>
        <v>Feb</v>
      </c>
      <c r="M155" s="2">
        <f>(H155-_xlfn.XLOOKUP(D155,Product_Master!A:A,Product_Master!D:D))*G155</f>
        <v>55</v>
      </c>
      <c r="N155" s="13">
        <f t="shared" si="4"/>
        <v>0.53114437469821341</v>
      </c>
      <c r="O155" s="16">
        <f>G155/Inventory!$G$2</f>
        <v>1.7543859649122806E-2</v>
      </c>
      <c r="P155"/>
      <c r="AA155"/>
      <c r="AB155"/>
      <c r="AC155"/>
    </row>
    <row r="156" spans="1:29">
      <c r="A156" s="1" t="s">
        <v>418</v>
      </c>
      <c r="B156" s="1" t="s">
        <v>372</v>
      </c>
      <c r="C156" s="1" t="s">
        <v>222</v>
      </c>
      <c r="D156" s="1" t="s">
        <v>175</v>
      </c>
      <c r="E156" s="1" t="s">
        <v>205</v>
      </c>
      <c r="F156" s="1" t="s">
        <v>10</v>
      </c>
      <c r="G156" s="1">
        <v>3</v>
      </c>
      <c r="H156" s="1">
        <v>113</v>
      </c>
      <c r="I156" s="1">
        <v>0</v>
      </c>
      <c r="J156" s="1">
        <v>339</v>
      </c>
      <c r="K156" s="1" t="s">
        <v>46</v>
      </c>
      <c r="L156" s="1" t="str">
        <f t="shared" si="5"/>
        <v>Jun</v>
      </c>
      <c r="M156" s="2">
        <f>(H156-_xlfn.XLOOKUP(D156,Product_Master!A:A,Product_Master!D:D))*G156</f>
        <v>150</v>
      </c>
      <c r="N156" s="13">
        <f t="shared" si="4"/>
        <v>0.44247787610619471</v>
      </c>
      <c r="O156" s="16">
        <f>G156/Inventory!$G$2</f>
        <v>5.2631578947368418E-2</v>
      </c>
      <c r="P156"/>
      <c r="AA156"/>
      <c r="AB156"/>
      <c r="AC156"/>
    </row>
    <row r="157" spans="1:29">
      <c r="A157" s="1" t="s">
        <v>419</v>
      </c>
      <c r="B157" s="1" t="s">
        <v>120</v>
      </c>
      <c r="C157" s="1" t="s">
        <v>48</v>
      </c>
      <c r="D157" s="1" t="s">
        <v>151</v>
      </c>
      <c r="E157" s="1" t="s">
        <v>181</v>
      </c>
      <c r="F157" s="1" t="s">
        <v>7</v>
      </c>
      <c r="G157" s="1">
        <v>6</v>
      </c>
      <c r="H157" s="1">
        <v>96</v>
      </c>
      <c r="I157" s="1">
        <v>15</v>
      </c>
      <c r="J157" s="1">
        <v>489.6</v>
      </c>
      <c r="K157" s="1" t="s">
        <v>235</v>
      </c>
      <c r="L157" s="1" t="str">
        <f t="shared" si="5"/>
        <v>Apr</v>
      </c>
      <c r="M157" s="2">
        <f>(H157-_xlfn.XLOOKUP(D157,Product_Master!A:A,Product_Master!D:D))*G157</f>
        <v>456</v>
      </c>
      <c r="N157" s="13">
        <f t="shared" si="4"/>
        <v>0.93137254901960775</v>
      </c>
      <c r="O157" s="16">
        <f>G157/Inventory!$G$2</f>
        <v>0.10526315789473684</v>
      </c>
      <c r="P157"/>
      <c r="AA157"/>
      <c r="AB157"/>
      <c r="AC157"/>
    </row>
    <row r="158" spans="1:29">
      <c r="A158" s="1" t="s">
        <v>420</v>
      </c>
      <c r="B158" s="1" t="s">
        <v>361</v>
      </c>
      <c r="C158" s="1" t="s">
        <v>69</v>
      </c>
      <c r="D158" s="1" t="s">
        <v>153</v>
      </c>
      <c r="E158" s="1" t="s">
        <v>183</v>
      </c>
      <c r="F158" s="1" t="s">
        <v>17</v>
      </c>
      <c r="G158" s="1">
        <v>12</v>
      </c>
      <c r="H158" s="1">
        <v>89</v>
      </c>
      <c r="I158" s="1">
        <v>15</v>
      </c>
      <c r="J158" s="1">
        <v>907.8</v>
      </c>
      <c r="K158" s="1" t="s">
        <v>235</v>
      </c>
      <c r="L158" s="1" t="str">
        <f t="shared" si="5"/>
        <v>Feb</v>
      </c>
      <c r="M158" s="2">
        <f>(H158-_xlfn.XLOOKUP(D158,Product_Master!A:A,Product_Master!D:D))*G158</f>
        <v>780</v>
      </c>
      <c r="N158" s="13">
        <f t="shared" si="4"/>
        <v>0.85922009253139464</v>
      </c>
      <c r="O158" s="16">
        <f>G158/Inventory!$G$2</f>
        <v>0.21052631578947367</v>
      </c>
      <c r="P158"/>
      <c r="AA158"/>
      <c r="AB158"/>
      <c r="AC158"/>
    </row>
    <row r="159" spans="1:29">
      <c r="A159" s="1" t="s">
        <v>421</v>
      </c>
      <c r="B159" s="1" t="s">
        <v>142</v>
      </c>
      <c r="C159" s="1" t="s">
        <v>224</v>
      </c>
      <c r="D159" s="1" t="s">
        <v>163</v>
      </c>
      <c r="E159" s="1" t="s">
        <v>193</v>
      </c>
      <c r="F159" s="1" t="s">
        <v>146</v>
      </c>
      <c r="G159" s="1">
        <v>15</v>
      </c>
      <c r="H159" s="1">
        <v>82</v>
      </c>
      <c r="I159" s="1">
        <v>5</v>
      </c>
      <c r="J159" s="1">
        <v>1168.5</v>
      </c>
      <c r="K159" s="1" t="s">
        <v>49</v>
      </c>
      <c r="L159" s="1" t="str">
        <f t="shared" si="5"/>
        <v>Feb</v>
      </c>
      <c r="M159" s="2">
        <f>(H159-_xlfn.XLOOKUP(D159,Product_Master!A:A,Product_Master!D:D))*G159</f>
        <v>600</v>
      </c>
      <c r="N159" s="13">
        <f t="shared" si="4"/>
        <v>0.51347881899871628</v>
      </c>
      <c r="O159" s="16">
        <f>G159/Inventory!$G$2</f>
        <v>0.26315789473684209</v>
      </c>
      <c r="P159"/>
      <c r="AA159"/>
      <c r="AB159"/>
      <c r="AC159"/>
    </row>
    <row r="160" spans="1:29">
      <c r="A160" s="1" t="s">
        <v>422</v>
      </c>
      <c r="B160" s="1" t="s">
        <v>135</v>
      </c>
      <c r="C160" s="1" t="s">
        <v>65</v>
      </c>
      <c r="D160" s="1" t="s">
        <v>167</v>
      </c>
      <c r="E160" s="1" t="s">
        <v>197</v>
      </c>
      <c r="F160" s="1" t="s">
        <v>17</v>
      </c>
      <c r="G160" s="1">
        <v>2</v>
      </c>
      <c r="H160" s="1">
        <v>135</v>
      </c>
      <c r="I160" s="1">
        <v>0</v>
      </c>
      <c r="J160" s="1">
        <v>270</v>
      </c>
      <c r="K160" s="1" t="s">
        <v>76</v>
      </c>
      <c r="L160" s="1" t="str">
        <f t="shared" si="5"/>
        <v>Feb</v>
      </c>
      <c r="M160" s="2">
        <f>(H160-_xlfn.XLOOKUP(D160,Product_Master!A:A,Product_Master!D:D))*G160</f>
        <v>160</v>
      </c>
      <c r="N160" s="13">
        <f t="shared" si="4"/>
        <v>0.59259259259259256</v>
      </c>
      <c r="O160" s="16">
        <f>G160/Inventory!$G$2</f>
        <v>3.5087719298245612E-2</v>
      </c>
      <c r="P160"/>
      <c r="AA160"/>
      <c r="AB160"/>
      <c r="AC160"/>
    </row>
    <row r="161" spans="1:29">
      <c r="A161" s="1" t="s">
        <v>423</v>
      </c>
      <c r="B161" s="1" t="s">
        <v>77</v>
      </c>
      <c r="C161" s="1" t="s">
        <v>211</v>
      </c>
      <c r="D161" s="1" t="s">
        <v>155</v>
      </c>
      <c r="E161" s="1" t="s">
        <v>185</v>
      </c>
      <c r="F161" s="1" t="s">
        <v>7</v>
      </c>
      <c r="G161" s="1">
        <v>11</v>
      </c>
      <c r="H161" s="1">
        <v>156</v>
      </c>
      <c r="I161" s="1">
        <v>5</v>
      </c>
      <c r="J161" s="1">
        <v>1630.2</v>
      </c>
      <c r="K161" s="1" t="s">
        <v>46</v>
      </c>
      <c r="L161" s="1" t="str">
        <f t="shared" si="5"/>
        <v>Jan</v>
      </c>
      <c r="M161" s="2">
        <f>(H161-_xlfn.XLOOKUP(D161,Product_Master!A:A,Product_Master!D:D))*G161</f>
        <v>693</v>
      </c>
      <c r="N161" s="13">
        <f t="shared" si="4"/>
        <v>0.4251012145748988</v>
      </c>
      <c r="O161" s="16">
        <f>G161/Inventory!$G$2</f>
        <v>0.19298245614035087</v>
      </c>
      <c r="P161"/>
      <c r="AA161"/>
      <c r="AB161"/>
      <c r="AC161"/>
    </row>
    <row r="162" spans="1:29">
      <c r="A162" s="1" t="s">
        <v>424</v>
      </c>
      <c r="B162" s="1" t="s">
        <v>86</v>
      </c>
      <c r="C162" s="1" t="s">
        <v>69</v>
      </c>
      <c r="D162" s="1" t="s">
        <v>20</v>
      </c>
      <c r="E162" s="1" t="s">
        <v>21</v>
      </c>
      <c r="F162" s="1" t="s">
        <v>10</v>
      </c>
      <c r="G162" s="1">
        <v>11</v>
      </c>
      <c r="H162" s="1">
        <v>128</v>
      </c>
      <c r="I162" s="1">
        <v>10</v>
      </c>
      <c r="J162" s="1">
        <v>1267.2</v>
      </c>
      <c r="K162" s="1" t="s">
        <v>215</v>
      </c>
      <c r="L162" s="1" t="str">
        <f t="shared" si="5"/>
        <v>Jan</v>
      </c>
      <c r="M162" s="2">
        <f>(H162-_xlfn.XLOOKUP(D162,Product_Master!A:A,Product_Master!D:D))*G162</f>
        <v>583</v>
      </c>
      <c r="N162" s="13">
        <f t="shared" si="4"/>
        <v>0.46006944444444442</v>
      </c>
      <c r="O162" s="16">
        <f>G162/Inventory!$G$2</f>
        <v>0.19298245614035087</v>
      </c>
      <c r="P162"/>
      <c r="AA162"/>
      <c r="AB162"/>
      <c r="AC162"/>
    </row>
    <row r="163" spans="1:29">
      <c r="A163" s="1" t="s">
        <v>425</v>
      </c>
      <c r="B163" s="1" t="s">
        <v>426</v>
      </c>
      <c r="C163" s="1" t="s">
        <v>45</v>
      </c>
      <c r="D163" s="1" t="s">
        <v>168</v>
      </c>
      <c r="E163" s="1" t="s">
        <v>198</v>
      </c>
      <c r="F163" s="1" t="s">
        <v>17</v>
      </c>
      <c r="G163" s="1">
        <v>12</v>
      </c>
      <c r="H163" s="1">
        <v>119</v>
      </c>
      <c r="I163" s="1">
        <v>10</v>
      </c>
      <c r="J163" s="1">
        <v>1285.2</v>
      </c>
      <c r="K163" s="1" t="s">
        <v>49</v>
      </c>
      <c r="L163" s="1" t="str">
        <f t="shared" si="5"/>
        <v>May</v>
      </c>
      <c r="M163" s="2">
        <f>(H163-_xlfn.XLOOKUP(D163,Product_Master!A:A,Product_Master!D:D))*G163</f>
        <v>564</v>
      </c>
      <c r="N163" s="13">
        <f t="shared" si="4"/>
        <v>0.4388422035480859</v>
      </c>
      <c r="O163" s="16">
        <f>G163/Inventory!$G$2</f>
        <v>0.21052631578947367</v>
      </c>
      <c r="P163"/>
      <c r="AA163"/>
      <c r="AB163"/>
      <c r="AC163"/>
    </row>
    <row r="164" spans="1:29">
      <c r="A164" s="1" t="s">
        <v>427</v>
      </c>
      <c r="B164" s="1" t="s">
        <v>368</v>
      </c>
      <c r="C164" s="1" t="s">
        <v>48</v>
      </c>
      <c r="D164" s="1" t="s">
        <v>20</v>
      </c>
      <c r="E164" s="1" t="s">
        <v>21</v>
      </c>
      <c r="F164" s="1" t="s">
        <v>10</v>
      </c>
      <c r="G164" s="1">
        <v>10</v>
      </c>
      <c r="H164" s="1">
        <v>128</v>
      </c>
      <c r="I164" s="1">
        <v>5</v>
      </c>
      <c r="J164" s="1">
        <v>1216</v>
      </c>
      <c r="K164" s="1" t="s">
        <v>46</v>
      </c>
      <c r="L164" s="1" t="str">
        <f t="shared" si="5"/>
        <v>Jun</v>
      </c>
      <c r="M164" s="2">
        <f>(H164-_xlfn.XLOOKUP(D164,Product_Master!A:A,Product_Master!D:D))*G164</f>
        <v>530</v>
      </c>
      <c r="N164" s="13">
        <f t="shared" si="4"/>
        <v>0.43585526315789475</v>
      </c>
      <c r="O164" s="16">
        <f>G164/Inventory!$G$2</f>
        <v>0.17543859649122806</v>
      </c>
      <c r="P164"/>
      <c r="AA164"/>
      <c r="AB164"/>
      <c r="AC164"/>
    </row>
    <row r="165" spans="1:29">
      <c r="A165" s="1" t="s">
        <v>428</v>
      </c>
      <c r="B165" s="1" t="s">
        <v>60</v>
      </c>
      <c r="C165" s="1" t="s">
        <v>259</v>
      </c>
      <c r="D165" s="1" t="s">
        <v>162</v>
      </c>
      <c r="E165" s="1" t="s">
        <v>192</v>
      </c>
      <c r="F165" s="1" t="s">
        <v>146</v>
      </c>
      <c r="G165" s="1">
        <v>12</v>
      </c>
      <c r="H165" s="1">
        <v>168</v>
      </c>
      <c r="I165" s="1">
        <v>5</v>
      </c>
      <c r="J165" s="1">
        <v>1915.2</v>
      </c>
      <c r="K165" s="1" t="s">
        <v>76</v>
      </c>
      <c r="L165" s="1" t="str">
        <f t="shared" si="5"/>
        <v>Feb</v>
      </c>
      <c r="M165" s="2">
        <f>(H165-_xlfn.XLOOKUP(D165,Product_Master!A:A,Product_Master!D:D))*G165</f>
        <v>660</v>
      </c>
      <c r="N165" s="13">
        <f t="shared" si="4"/>
        <v>0.34461152882205515</v>
      </c>
      <c r="O165" s="16">
        <f>G165/Inventory!$G$2</f>
        <v>0.21052631578947367</v>
      </c>
      <c r="P165"/>
      <c r="AA165"/>
      <c r="AB165"/>
      <c r="AC165"/>
    </row>
    <row r="166" spans="1:29">
      <c r="A166" s="1" t="s">
        <v>429</v>
      </c>
      <c r="B166" s="1" t="s">
        <v>117</v>
      </c>
      <c r="C166" s="1" t="s">
        <v>211</v>
      </c>
      <c r="D166" s="1" t="s">
        <v>24</v>
      </c>
      <c r="E166" s="1" t="s">
        <v>25</v>
      </c>
      <c r="F166" s="1" t="s">
        <v>146</v>
      </c>
      <c r="G166" s="1">
        <v>11</v>
      </c>
      <c r="H166" s="1">
        <v>96</v>
      </c>
      <c r="I166" s="1">
        <v>5</v>
      </c>
      <c r="J166" s="1">
        <v>1003.2</v>
      </c>
      <c r="K166" s="1" t="s">
        <v>55</v>
      </c>
      <c r="L166" s="1" t="str">
        <f t="shared" si="5"/>
        <v>Apr</v>
      </c>
      <c r="M166" s="2">
        <f>(H166-_xlfn.XLOOKUP(D166,Product_Master!A:A,Product_Master!D:D))*G166</f>
        <v>264</v>
      </c>
      <c r="N166" s="13">
        <f t="shared" si="4"/>
        <v>0.26315789473684209</v>
      </c>
      <c r="O166" s="16">
        <f>G166/Inventory!$G$2</f>
        <v>0.19298245614035087</v>
      </c>
      <c r="P166"/>
      <c r="AA166"/>
      <c r="AB166"/>
      <c r="AC166"/>
    </row>
    <row r="167" spans="1:29">
      <c r="A167" s="1" t="s">
        <v>430</v>
      </c>
      <c r="B167" s="1" t="s">
        <v>143</v>
      </c>
      <c r="C167" s="1" t="s">
        <v>65</v>
      </c>
      <c r="D167" s="1" t="s">
        <v>22</v>
      </c>
      <c r="E167" s="1" t="s">
        <v>23</v>
      </c>
      <c r="F167" s="1" t="s">
        <v>10</v>
      </c>
      <c r="G167" s="1">
        <v>15</v>
      </c>
      <c r="H167" s="1">
        <v>76</v>
      </c>
      <c r="I167" s="1">
        <v>5</v>
      </c>
      <c r="J167" s="1">
        <v>1083</v>
      </c>
      <c r="K167" s="1" t="s">
        <v>49</v>
      </c>
      <c r="L167" s="1" t="str">
        <f t="shared" si="5"/>
        <v>Feb</v>
      </c>
      <c r="M167" s="2">
        <f>(H167-_xlfn.XLOOKUP(D167,Product_Master!A:A,Product_Master!D:D))*G167</f>
        <v>450</v>
      </c>
      <c r="N167" s="13">
        <f t="shared" si="4"/>
        <v>0.41551246537396119</v>
      </c>
      <c r="O167" s="16">
        <f>G167/Inventory!$G$2</f>
        <v>0.26315789473684209</v>
      </c>
      <c r="P167"/>
      <c r="AA167"/>
      <c r="AB167"/>
      <c r="AC167"/>
    </row>
    <row r="168" spans="1:29">
      <c r="A168" s="1" t="s">
        <v>431</v>
      </c>
      <c r="B168" s="1" t="s">
        <v>125</v>
      </c>
      <c r="C168" s="1" t="s">
        <v>45</v>
      </c>
      <c r="D168" s="1" t="s">
        <v>162</v>
      </c>
      <c r="E168" s="1" t="s">
        <v>192</v>
      </c>
      <c r="F168" s="1" t="s">
        <v>146</v>
      </c>
      <c r="G168" s="1">
        <v>7</v>
      </c>
      <c r="H168" s="1">
        <v>168</v>
      </c>
      <c r="I168" s="1">
        <v>15</v>
      </c>
      <c r="J168" s="1">
        <v>999.6</v>
      </c>
      <c r="K168" s="1" t="s">
        <v>55</v>
      </c>
      <c r="L168" s="1" t="str">
        <f t="shared" si="5"/>
        <v>Apr</v>
      </c>
      <c r="M168" s="2">
        <f>(H168-_xlfn.XLOOKUP(D168,Product_Master!A:A,Product_Master!D:D))*G168</f>
        <v>385</v>
      </c>
      <c r="N168" s="13">
        <f t="shared" si="4"/>
        <v>0.38515406162464982</v>
      </c>
      <c r="O168" s="16">
        <f>G168/Inventory!$G$2</f>
        <v>0.12280701754385964</v>
      </c>
      <c r="P168"/>
      <c r="AA168"/>
      <c r="AB168"/>
      <c r="AC168"/>
    </row>
    <row r="169" spans="1:29">
      <c r="A169" s="1" t="s">
        <v>432</v>
      </c>
      <c r="B169" s="1" t="s">
        <v>89</v>
      </c>
      <c r="C169" s="1" t="s">
        <v>48</v>
      </c>
      <c r="D169" s="1" t="s">
        <v>171</v>
      </c>
      <c r="E169" s="1" t="s">
        <v>201</v>
      </c>
      <c r="F169" s="1" t="s">
        <v>17</v>
      </c>
      <c r="G169" s="1">
        <v>1</v>
      </c>
      <c r="H169" s="1">
        <v>154</v>
      </c>
      <c r="I169" s="1">
        <v>10</v>
      </c>
      <c r="J169" s="1">
        <v>138.6</v>
      </c>
      <c r="K169" s="1" t="s">
        <v>215</v>
      </c>
      <c r="L169" s="1" t="str">
        <f t="shared" si="5"/>
        <v>Mar</v>
      </c>
      <c r="M169" s="2">
        <f>(H169-_xlfn.XLOOKUP(D169,Product_Master!A:A,Product_Master!D:D))*G169</f>
        <v>58</v>
      </c>
      <c r="N169" s="13">
        <f t="shared" si="4"/>
        <v>0.41847041847041849</v>
      </c>
      <c r="O169" s="16">
        <f>G169/Inventory!$G$2</f>
        <v>1.7543859649122806E-2</v>
      </c>
      <c r="P169"/>
      <c r="AA169"/>
      <c r="AB169"/>
      <c r="AC169"/>
    </row>
    <row r="170" spans="1:29">
      <c r="A170" s="1" t="s">
        <v>433</v>
      </c>
      <c r="B170" s="1" t="s">
        <v>370</v>
      </c>
      <c r="C170" s="1" t="s">
        <v>211</v>
      </c>
      <c r="D170" s="1" t="s">
        <v>148</v>
      </c>
      <c r="E170" s="1" t="s">
        <v>178</v>
      </c>
      <c r="F170" s="1" t="s">
        <v>147</v>
      </c>
      <c r="G170" s="1">
        <v>9</v>
      </c>
      <c r="H170" s="1">
        <v>90</v>
      </c>
      <c r="I170" s="1">
        <v>0</v>
      </c>
      <c r="J170" s="1">
        <v>810</v>
      </c>
      <c r="K170" s="1" t="s">
        <v>46</v>
      </c>
      <c r="L170" s="1" t="str">
        <f t="shared" si="5"/>
        <v>Jun</v>
      </c>
      <c r="M170" s="2">
        <f>(H170-_xlfn.XLOOKUP(D170,Product_Master!A:A,Product_Master!D:D))*G170</f>
        <v>279</v>
      </c>
      <c r="N170" s="13">
        <f t="shared" si="4"/>
        <v>0.34444444444444444</v>
      </c>
      <c r="O170" s="16">
        <f>G170/Inventory!$G$2</f>
        <v>0.15789473684210525</v>
      </c>
      <c r="P170"/>
      <c r="AA170"/>
      <c r="AB170"/>
      <c r="AC170"/>
    </row>
    <row r="171" spans="1:29">
      <c r="A171" s="1" t="s">
        <v>434</v>
      </c>
      <c r="B171" s="1" t="s">
        <v>239</v>
      </c>
      <c r="C171" s="1" t="s">
        <v>72</v>
      </c>
      <c r="D171" s="1" t="s">
        <v>148</v>
      </c>
      <c r="E171" s="1" t="s">
        <v>178</v>
      </c>
      <c r="F171" s="1" t="s">
        <v>147</v>
      </c>
      <c r="G171" s="1">
        <v>2</v>
      </c>
      <c r="H171" s="1">
        <v>90</v>
      </c>
      <c r="I171" s="1">
        <v>5</v>
      </c>
      <c r="J171" s="1">
        <v>171</v>
      </c>
      <c r="K171" s="1" t="s">
        <v>49</v>
      </c>
      <c r="L171" s="1" t="str">
        <f t="shared" si="5"/>
        <v>May</v>
      </c>
      <c r="M171" s="2">
        <f>(H171-_xlfn.XLOOKUP(D171,Product_Master!A:A,Product_Master!D:D))*G171</f>
        <v>62</v>
      </c>
      <c r="N171" s="13">
        <f t="shared" si="4"/>
        <v>0.36257309941520466</v>
      </c>
      <c r="O171" s="16">
        <f>G171/Inventory!$G$2</f>
        <v>3.5087719298245612E-2</v>
      </c>
      <c r="P171"/>
      <c r="AA171"/>
      <c r="AB171"/>
      <c r="AC171"/>
    </row>
    <row r="172" spans="1:29">
      <c r="A172" s="1" t="s">
        <v>435</v>
      </c>
      <c r="B172" s="1" t="s">
        <v>293</v>
      </c>
      <c r="C172" s="1" t="s">
        <v>259</v>
      </c>
      <c r="D172" s="1" t="s">
        <v>158</v>
      </c>
      <c r="E172" s="1" t="s">
        <v>188</v>
      </c>
      <c r="F172" s="1" t="s">
        <v>10</v>
      </c>
      <c r="G172" s="1">
        <v>9</v>
      </c>
      <c r="H172" s="1">
        <v>65</v>
      </c>
      <c r="I172" s="1">
        <v>15</v>
      </c>
      <c r="J172" s="1">
        <v>497.25</v>
      </c>
      <c r="K172" s="1" t="s">
        <v>55</v>
      </c>
      <c r="L172" s="1" t="str">
        <f t="shared" si="5"/>
        <v>Mar</v>
      </c>
      <c r="M172" s="2">
        <f>(H172-_xlfn.XLOOKUP(D172,Product_Master!A:A,Product_Master!D:D))*G172</f>
        <v>198</v>
      </c>
      <c r="N172" s="13">
        <f t="shared" si="4"/>
        <v>0.39819004524886875</v>
      </c>
      <c r="O172" s="16">
        <f>G172/Inventory!$G$2</f>
        <v>0.15789473684210525</v>
      </c>
      <c r="P172"/>
      <c r="AA172"/>
      <c r="AB172"/>
      <c r="AC172"/>
    </row>
    <row r="173" spans="1:29">
      <c r="A173" s="1" t="s">
        <v>436</v>
      </c>
      <c r="B173" s="1" t="s">
        <v>270</v>
      </c>
      <c r="C173" s="1" t="s">
        <v>72</v>
      </c>
      <c r="D173" s="1" t="s">
        <v>153</v>
      </c>
      <c r="E173" s="1" t="s">
        <v>183</v>
      </c>
      <c r="F173" s="1" t="s">
        <v>17</v>
      </c>
      <c r="G173" s="1">
        <v>14</v>
      </c>
      <c r="H173" s="1">
        <v>89</v>
      </c>
      <c r="I173" s="1">
        <v>10</v>
      </c>
      <c r="J173" s="1">
        <v>1121.4000000000001</v>
      </c>
      <c r="K173" s="1" t="s">
        <v>235</v>
      </c>
      <c r="L173" s="1" t="str">
        <f t="shared" si="5"/>
        <v>May</v>
      </c>
      <c r="M173" s="2">
        <f>(H173-_xlfn.XLOOKUP(D173,Product_Master!A:A,Product_Master!D:D))*G173</f>
        <v>910</v>
      </c>
      <c r="N173" s="13">
        <f t="shared" si="4"/>
        <v>0.81148564294631709</v>
      </c>
      <c r="O173" s="16">
        <f>G173/Inventory!$G$2</f>
        <v>0.24561403508771928</v>
      </c>
      <c r="P173"/>
      <c r="AA173"/>
      <c r="AB173"/>
      <c r="AC173"/>
    </row>
    <row r="174" spans="1:29">
      <c r="A174" s="1" t="s">
        <v>437</v>
      </c>
      <c r="B174" s="1" t="s">
        <v>108</v>
      </c>
      <c r="C174" s="1" t="s">
        <v>69</v>
      </c>
      <c r="D174" s="1" t="s">
        <v>162</v>
      </c>
      <c r="E174" s="1" t="s">
        <v>192</v>
      </c>
      <c r="F174" s="1" t="s">
        <v>146</v>
      </c>
      <c r="G174" s="1">
        <v>7</v>
      </c>
      <c r="H174" s="1">
        <v>168</v>
      </c>
      <c r="I174" s="1">
        <v>10</v>
      </c>
      <c r="J174" s="1">
        <v>1058.4000000000001</v>
      </c>
      <c r="K174" s="1" t="s">
        <v>215</v>
      </c>
      <c r="L174" s="1" t="str">
        <f t="shared" si="5"/>
        <v>Jan</v>
      </c>
      <c r="M174" s="2">
        <f>(H174-_xlfn.XLOOKUP(D174,Product_Master!A:A,Product_Master!D:D))*G174</f>
        <v>385</v>
      </c>
      <c r="N174" s="13">
        <f t="shared" si="4"/>
        <v>0.36375661375661372</v>
      </c>
      <c r="O174" s="16">
        <f>G174/Inventory!$G$2</f>
        <v>0.12280701754385964</v>
      </c>
      <c r="P174"/>
      <c r="AA174"/>
      <c r="AB174"/>
      <c r="AC174"/>
    </row>
    <row r="175" spans="1:29">
      <c r="A175" s="1" t="s">
        <v>438</v>
      </c>
      <c r="B175" s="1" t="s">
        <v>138</v>
      </c>
      <c r="C175" s="1" t="s">
        <v>51</v>
      </c>
      <c r="D175" s="1" t="s">
        <v>152</v>
      </c>
      <c r="E175" s="1" t="s">
        <v>182</v>
      </c>
      <c r="F175" s="1" t="s">
        <v>146</v>
      </c>
      <c r="G175" s="1">
        <v>12</v>
      </c>
      <c r="H175" s="1">
        <v>158</v>
      </c>
      <c r="I175" s="1">
        <v>10</v>
      </c>
      <c r="J175" s="1">
        <v>1706.4</v>
      </c>
      <c r="K175" s="1" t="s">
        <v>46</v>
      </c>
      <c r="L175" s="1" t="str">
        <f t="shared" si="5"/>
        <v>Apr</v>
      </c>
      <c r="M175" s="2">
        <f>(H175-_xlfn.XLOOKUP(D175,Product_Master!A:A,Product_Master!D:D))*G175</f>
        <v>1140</v>
      </c>
      <c r="N175" s="13">
        <f t="shared" si="4"/>
        <v>0.66807313642756683</v>
      </c>
      <c r="O175" s="16">
        <f>G175/Inventory!$G$2</f>
        <v>0.21052631578947367</v>
      </c>
      <c r="P175"/>
      <c r="AA175"/>
      <c r="AB175"/>
      <c r="AC175"/>
    </row>
    <row r="176" spans="1:29">
      <c r="A176" s="1" t="s">
        <v>439</v>
      </c>
      <c r="B176" s="1" t="s">
        <v>440</v>
      </c>
      <c r="C176" s="1" t="s">
        <v>224</v>
      </c>
      <c r="D176" s="1" t="s">
        <v>11</v>
      </c>
      <c r="E176" s="1" t="s">
        <v>12</v>
      </c>
      <c r="F176" s="1" t="s">
        <v>147</v>
      </c>
      <c r="G176" s="1">
        <v>4</v>
      </c>
      <c r="H176" s="1">
        <v>86</v>
      </c>
      <c r="I176" s="1">
        <v>5</v>
      </c>
      <c r="J176" s="1">
        <v>326.8</v>
      </c>
      <c r="K176" s="1" t="s">
        <v>76</v>
      </c>
      <c r="L176" s="1" t="str">
        <f t="shared" si="5"/>
        <v>Jun</v>
      </c>
      <c r="M176" s="2">
        <f>(H176-_xlfn.XLOOKUP(D176,Product_Master!A:A,Product_Master!D:D))*G176</f>
        <v>80</v>
      </c>
      <c r="N176" s="13">
        <f t="shared" si="4"/>
        <v>0.24479804161566707</v>
      </c>
      <c r="O176" s="16">
        <f>G176/Inventory!$G$2</f>
        <v>7.0175438596491224E-2</v>
      </c>
      <c r="P176"/>
      <c r="AA176"/>
      <c r="AB176"/>
      <c r="AC176"/>
    </row>
    <row r="177" spans="1:29">
      <c r="A177" s="1" t="s">
        <v>441</v>
      </c>
      <c r="B177" s="1" t="s">
        <v>118</v>
      </c>
      <c r="C177" s="1" t="s">
        <v>224</v>
      </c>
      <c r="D177" s="1" t="s">
        <v>167</v>
      </c>
      <c r="E177" s="1" t="s">
        <v>197</v>
      </c>
      <c r="F177" s="1" t="s">
        <v>17</v>
      </c>
      <c r="G177" s="1">
        <v>13</v>
      </c>
      <c r="H177" s="1">
        <v>135</v>
      </c>
      <c r="I177" s="1">
        <v>10</v>
      </c>
      <c r="J177" s="1">
        <v>1579.5</v>
      </c>
      <c r="K177" s="1" t="s">
        <v>215</v>
      </c>
      <c r="L177" s="1" t="str">
        <f t="shared" si="5"/>
        <v>Feb</v>
      </c>
      <c r="M177" s="2">
        <f>(H177-_xlfn.XLOOKUP(D177,Product_Master!A:A,Product_Master!D:D))*G177</f>
        <v>1040</v>
      </c>
      <c r="N177" s="13">
        <f t="shared" si="4"/>
        <v>0.65843621399176955</v>
      </c>
      <c r="O177" s="16">
        <f>G177/Inventory!$G$2</f>
        <v>0.22807017543859648</v>
      </c>
      <c r="P177"/>
      <c r="AA177"/>
      <c r="AB177"/>
      <c r="AC177"/>
    </row>
    <row r="178" spans="1:29">
      <c r="A178" s="1" t="s">
        <v>442</v>
      </c>
      <c r="B178" s="1" t="s">
        <v>90</v>
      </c>
      <c r="C178" s="1" t="s">
        <v>48</v>
      </c>
      <c r="D178" s="1" t="s">
        <v>163</v>
      </c>
      <c r="E178" s="1" t="s">
        <v>193</v>
      </c>
      <c r="F178" s="1" t="s">
        <v>146</v>
      </c>
      <c r="G178" s="1">
        <v>11</v>
      </c>
      <c r="H178" s="1">
        <v>82</v>
      </c>
      <c r="I178" s="1">
        <v>0</v>
      </c>
      <c r="J178" s="1">
        <v>902</v>
      </c>
      <c r="K178" s="1" t="s">
        <v>215</v>
      </c>
      <c r="L178" s="1" t="str">
        <f t="shared" si="5"/>
        <v>Mar</v>
      </c>
      <c r="M178" s="2">
        <f>(H178-_xlfn.XLOOKUP(D178,Product_Master!A:A,Product_Master!D:D))*G178</f>
        <v>440</v>
      </c>
      <c r="N178" s="13">
        <f t="shared" si="4"/>
        <v>0.48780487804878048</v>
      </c>
      <c r="O178" s="16">
        <f>G178/Inventory!$G$2</f>
        <v>0.19298245614035087</v>
      </c>
      <c r="P178"/>
      <c r="AA178"/>
      <c r="AB178"/>
      <c r="AC178"/>
    </row>
    <row r="179" spans="1:29">
      <c r="A179" s="1" t="s">
        <v>443</v>
      </c>
      <c r="B179" s="1" t="s">
        <v>84</v>
      </c>
      <c r="C179" s="1" t="s">
        <v>51</v>
      </c>
      <c r="D179" s="1" t="s">
        <v>24</v>
      </c>
      <c r="E179" s="1" t="s">
        <v>25</v>
      </c>
      <c r="F179" s="1" t="s">
        <v>146</v>
      </c>
      <c r="G179" s="1">
        <v>4</v>
      </c>
      <c r="H179" s="1">
        <v>96</v>
      </c>
      <c r="I179" s="1">
        <v>0</v>
      </c>
      <c r="J179" s="1">
        <v>384</v>
      </c>
      <c r="K179" s="1" t="s">
        <v>235</v>
      </c>
      <c r="L179" s="1" t="str">
        <f t="shared" si="5"/>
        <v>Apr</v>
      </c>
      <c r="M179" s="2">
        <f>(H179-_xlfn.XLOOKUP(D179,Product_Master!A:A,Product_Master!D:D))*G179</f>
        <v>96</v>
      </c>
      <c r="N179" s="13">
        <f t="shared" si="4"/>
        <v>0.25</v>
      </c>
      <c r="O179" s="16">
        <f>G179/Inventory!$G$2</f>
        <v>7.0175438596491224E-2</v>
      </c>
      <c r="P179"/>
      <c r="AA179"/>
      <c r="AB179"/>
      <c r="AC179"/>
    </row>
    <row r="180" spans="1:29">
      <c r="A180" s="1" t="s">
        <v>444</v>
      </c>
      <c r="B180" s="1" t="s">
        <v>123</v>
      </c>
      <c r="C180" s="1" t="s">
        <v>211</v>
      </c>
      <c r="D180" s="1" t="s">
        <v>174</v>
      </c>
      <c r="E180" s="1" t="s">
        <v>204</v>
      </c>
      <c r="F180" s="1" t="s">
        <v>7</v>
      </c>
      <c r="G180" s="1">
        <v>10</v>
      </c>
      <c r="H180" s="1">
        <v>160</v>
      </c>
      <c r="I180" s="1">
        <v>15</v>
      </c>
      <c r="J180" s="1">
        <v>1360</v>
      </c>
      <c r="K180" s="1" t="s">
        <v>235</v>
      </c>
      <c r="L180" s="1" t="str">
        <f t="shared" si="5"/>
        <v>Jan</v>
      </c>
      <c r="M180" s="2">
        <f>(H180-_xlfn.XLOOKUP(D180,Product_Master!A:A,Product_Master!D:D))*G180</f>
        <v>550</v>
      </c>
      <c r="N180" s="13">
        <f t="shared" si="4"/>
        <v>0.40441176470588236</v>
      </c>
      <c r="O180" s="16">
        <f>G180/Inventory!$G$2</f>
        <v>0.17543859649122806</v>
      </c>
      <c r="P180"/>
      <c r="AA180"/>
      <c r="AB180"/>
      <c r="AC180"/>
    </row>
    <row r="181" spans="1:29">
      <c r="A181" s="1" t="s">
        <v>445</v>
      </c>
      <c r="B181" s="1" t="s">
        <v>85</v>
      </c>
      <c r="C181" s="1" t="s">
        <v>224</v>
      </c>
      <c r="D181" s="1" t="s">
        <v>11</v>
      </c>
      <c r="E181" s="1" t="s">
        <v>12</v>
      </c>
      <c r="F181" s="1" t="s">
        <v>147</v>
      </c>
      <c r="G181" s="1">
        <v>9</v>
      </c>
      <c r="H181" s="1">
        <v>86</v>
      </c>
      <c r="I181" s="1">
        <v>10</v>
      </c>
      <c r="J181" s="1">
        <v>696.6</v>
      </c>
      <c r="K181" s="1" t="s">
        <v>46</v>
      </c>
      <c r="L181" s="1" t="str">
        <f t="shared" si="5"/>
        <v>Apr</v>
      </c>
      <c r="M181" s="2">
        <f>(H181-_xlfn.XLOOKUP(D181,Product_Master!A:A,Product_Master!D:D))*G181</f>
        <v>180</v>
      </c>
      <c r="N181" s="13">
        <f t="shared" si="4"/>
        <v>0.25839793281653745</v>
      </c>
      <c r="O181" s="16">
        <f>G181/Inventory!$G$2</f>
        <v>0.15789473684210525</v>
      </c>
      <c r="P181"/>
      <c r="AA181"/>
      <c r="AB181"/>
      <c r="AC181"/>
    </row>
    <row r="182" spans="1:29">
      <c r="A182" s="1" t="s">
        <v>446</v>
      </c>
      <c r="B182" s="1" t="s">
        <v>447</v>
      </c>
      <c r="C182" s="1" t="s">
        <v>72</v>
      </c>
      <c r="D182" s="1" t="s">
        <v>177</v>
      </c>
      <c r="E182" s="1" t="s">
        <v>207</v>
      </c>
      <c r="F182" s="1" t="s">
        <v>146</v>
      </c>
      <c r="G182" s="1">
        <v>1</v>
      </c>
      <c r="H182" s="1">
        <v>145</v>
      </c>
      <c r="I182" s="1">
        <v>0</v>
      </c>
      <c r="J182" s="1">
        <v>145</v>
      </c>
      <c r="K182" s="1" t="s">
        <v>215</v>
      </c>
      <c r="L182" s="1" t="str">
        <f t="shared" si="5"/>
        <v>May</v>
      </c>
      <c r="M182" s="2">
        <f>(H182-_xlfn.XLOOKUP(D182,Product_Master!A:A,Product_Master!D:D))*G182</f>
        <v>82</v>
      </c>
      <c r="N182" s="13">
        <f t="shared" si="4"/>
        <v>0.56551724137931036</v>
      </c>
      <c r="O182" s="16">
        <f>G182/Inventory!$G$2</f>
        <v>1.7543859649122806E-2</v>
      </c>
      <c r="P182"/>
      <c r="AA182"/>
      <c r="AB182"/>
      <c r="AC182"/>
    </row>
    <row r="183" spans="1:29">
      <c r="A183" s="1" t="s">
        <v>448</v>
      </c>
      <c r="B183" s="1" t="s">
        <v>95</v>
      </c>
      <c r="C183" s="1" t="s">
        <v>211</v>
      </c>
      <c r="D183" s="1" t="s">
        <v>164</v>
      </c>
      <c r="E183" s="1" t="s">
        <v>194</v>
      </c>
      <c r="F183" s="1" t="s">
        <v>147</v>
      </c>
      <c r="G183" s="1">
        <v>7</v>
      </c>
      <c r="H183" s="1">
        <v>135</v>
      </c>
      <c r="I183" s="1">
        <v>0</v>
      </c>
      <c r="J183" s="1">
        <v>945</v>
      </c>
      <c r="K183" s="1" t="s">
        <v>46</v>
      </c>
      <c r="L183" s="1" t="str">
        <f t="shared" si="5"/>
        <v>Mar</v>
      </c>
      <c r="M183" s="2">
        <f>(H183-_xlfn.XLOOKUP(D183,Product_Master!A:A,Product_Master!D:D))*G183</f>
        <v>301</v>
      </c>
      <c r="N183" s="13">
        <f t="shared" si="4"/>
        <v>0.31851851851851853</v>
      </c>
      <c r="O183" s="16">
        <f>G183/Inventory!$G$2</f>
        <v>0.12280701754385964</v>
      </c>
      <c r="P183"/>
      <c r="AA183"/>
      <c r="AB183"/>
      <c r="AC183"/>
    </row>
    <row r="184" spans="1:29">
      <c r="A184" s="1" t="s">
        <v>449</v>
      </c>
      <c r="B184" s="1" t="s">
        <v>136</v>
      </c>
      <c r="C184" s="1" t="s">
        <v>259</v>
      </c>
      <c r="D184" s="1" t="s">
        <v>175</v>
      </c>
      <c r="E184" s="1" t="s">
        <v>205</v>
      </c>
      <c r="F184" s="1" t="s">
        <v>10</v>
      </c>
      <c r="G184" s="1">
        <v>12</v>
      </c>
      <c r="H184" s="1">
        <v>113</v>
      </c>
      <c r="I184" s="1">
        <v>0</v>
      </c>
      <c r="J184" s="1">
        <v>1356</v>
      </c>
      <c r="K184" s="1" t="s">
        <v>235</v>
      </c>
      <c r="L184" s="1" t="str">
        <f t="shared" si="5"/>
        <v>Jan</v>
      </c>
      <c r="M184" s="2">
        <f>(H184-_xlfn.XLOOKUP(D184,Product_Master!A:A,Product_Master!D:D))*G184</f>
        <v>600</v>
      </c>
      <c r="N184" s="13">
        <f t="shared" si="4"/>
        <v>0.44247787610619471</v>
      </c>
      <c r="O184" s="16">
        <f>G184/Inventory!$G$2</f>
        <v>0.21052631578947367</v>
      </c>
      <c r="P184"/>
      <c r="AA184"/>
      <c r="AB184"/>
      <c r="AC184"/>
    </row>
    <row r="185" spans="1:29">
      <c r="A185" s="1" t="s">
        <v>450</v>
      </c>
      <c r="B185" s="1" t="s">
        <v>451</v>
      </c>
      <c r="C185" s="1" t="s">
        <v>259</v>
      </c>
      <c r="D185" s="1" t="s">
        <v>175</v>
      </c>
      <c r="E185" s="1" t="s">
        <v>205</v>
      </c>
      <c r="F185" s="1" t="s">
        <v>10</v>
      </c>
      <c r="G185" s="1">
        <v>1</v>
      </c>
      <c r="H185" s="1">
        <v>113</v>
      </c>
      <c r="I185" s="1">
        <v>5</v>
      </c>
      <c r="J185" s="1">
        <v>107.35</v>
      </c>
      <c r="K185" s="1" t="s">
        <v>215</v>
      </c>
      <c r="L185" s="1" t="str">
        <f t="shared" si="5"/>
        <v>May</v>
      </c>
      <c r="M185" s="2">
        <f>(H185-_xlfn.XLOOKUP(D185,Product_Master!A:A,Product_Master!D:D))*G185</f>
        <v>50</v>
      </c>
      <c r="N185" s="13">
        <f t="shared" si="4"/>
        <v>0.4657661853749418</v>
      </c>
      <c r="O185" s="16">
        <f>G185/Inventory!$G$2</f>
        <v>1.7543859649122806E-2</v>
      </c>
      <c r="P185"/>
      <c r="AA185"/>
      <c r="AB185"/>
      <c r="AC185"/>
    </row>
    <row r="186" spans="1:29">
      <c r="A186" s="1" t="s">
        <v>452</v>
      </c>
      <c r="B186" s="1" t="s">
        <v>70</v>
      </c>
      <c r="C186" s="1" t="s">
        <v>69</v>
      </c>
      <c r="D186" s="1" t="s">
        <v>170</v>
      </c>
      <c r="E186" s="1" t="s">
        <v>200</v>
      </c>
      <c r="F186" s="1" t="s">
        <v>17</v>
      </c>
      <c r="G186" s="1">
        <v>9</v>
      </c>
      <c r="H186" s="1">
        <v>52</v>
      </c>
      <c r="I186" s="1">
        <v>5</v>
      </c>
      <c r="J186" s="1">
        <v>444.6</v>
      </c>
      <c r="K186" s="1" t="s">
        <v>49</v>
      </c>
      <c r="L186" s="1" t="str">
        <f t="shared" si="5"/>
        <v>Apr</v>
      </c>
      <c r="M186" s="2">
        <f>(H186-_xlfn.XLOOKUP(D186,Product_Master!A:A,Product_Master!D:D))*G186</f>
        <v>351</v>
      </c>
      <c r="N186" s="13">
        <f t="shared" si="4"/>
        <v>0.78947368421052633</v>
      </c>
      <c r="O186" s="16">
        <f>G186/Inventory!$G$2</f>
        <v>0.15789473684210525</v>
      </c>
      <c r="P186"/>
      <c r="AA186"/>
      <c r="AB186"/>
      <c r="AC186"/>
    </row>
    <row r="187" spans="1:29">
      <c r="A187" s="1" t="s">
        <v>453</v>
      </c>
      <c r="B187" s="1" t="s">
        <v>210</v>
      </c>
      <c r="C187" s="1" t="s">
        <v>211</v>
      </c>
      <c r="D187" s="1" t="s">
        <v>170</v>
      </c>
      <c r="E187" s="1" t="s">
        <v>200</v>
      </c>
      <c r="F187" s="1" t="s">
        <v>17</v>
      </c>
      <c r="G187" s="1">
        <v>15</v>
      </c>
      <c r="H187" s="1">
        <v>52</v>
      </c>
      <c r="I187" s="1">
        <v>10</v>
      </c>
      <c r="J187" s="1">
        <v>702</v>
      </c>
      <c r="K187" s="1" t="s">
        <v>55</v>
      </c>
      <c r="L187" s="1" t="str">
        <f t="shared" si="5"/>
        <v>Jun</v>
      </c>
      <c r="M187" s="2">
        <f>(H187-_xlfn.XLOOKUP(D187,Product_Master!A:A,Product_Master!D:D))*G187</f>
        <v>585</v>
      </c>
      <c r="N187" s="13">
        <f t="shared" si="4"/>
        <v>0.83333333333333337</v>
      </c>
      <c r="O187" s="16">
        <f>G187/Inventory!$G$2</f>
        <v>0.26315789473684209</v>
      </c>
      <c r="P187"/>
      <c r="AA187"/>
      <c r="AB187"/>
      <c r="AC187"/>
    </row>
    <row r="188" spans="1:29">
      <c r="A188" s="1" t="s">
        <v>454</v>
      </c>
      <c r="B188" s="1" t="s">
        <v>113</v>
      </c>
      <c r="C188" s="1" t="s">
        <v>224</v>
      </c>
      <c r="D188" s="1" t="s">
        <v>176</v>
      </c>
      <c r="E188" s="1" t="s">
        <v>206</v>
      </c>
      <c r="F188" s="1" t="s">
        <v>146</v>
      </c>
      <c r="G188" s="1">
        <v>15</v>
      </c>
      <c r="H188" s="1">
        <v>181</v>
      </c>
      <c r="I188" s="1">
        <v>5</v>
      </c>
      <c r="J188" s="1">
        <v>2579.25</v>
      </c>
      <c r="K188" s="1" t="s">
        <v>55</v>
      </c>
      <c r="L188" s="1" t="str">
        <f t="shared" si="5"/>
        <v>Mar</v>
      </c>
      <c r="M188" s="2">
        <f>(H188-_xlfn.XLOOKUP(D188,Product_Master!A:A,Product_Master!D:D))*G188</f>
        <v>945</v>
      </c>
      <c r="N188" s="13">
        <f t="shared" si="4"/>
        <v>0.36638557720267517</v>
      </c>
      <c r="O188" s="16">
        <f>G188/Inventory!$G$2</f>
        <v>0.26315789473684209</v>
      </c>
      <c r="P188"/>
      <c r="AA188"/>
      <c r="AB188"/>
      <c r="AC188"/>
    </row>
    <row r="189" spans="1:29">
      <c r="A189" s="1" t="s">
        <v>455</v>
      </c>
      <c r="B189" s="1" t="s">
        <v>78</v>
      </c>
      <c r="C189" s="1" t="s">
        <v>57</v>
      </c>
      <c r="D189" s="1" t="s">
        <v>175</v>
      </c>
      <c r="E189" s="1" t="s">
        <v>205</v>
      </c>
      <c r="F189" s="1" t="s">
        <v>10</v>
      </c>
      <c r="G189" s="1">
        <v>12</v>
      </c>
      <c r="H189" s="1">
        <v>113</v>
      </c>
      <c r="I189" s="1">
        <v>0</v>
      </c>
      <c r="J189" s="1">
        <v>1356</v>
      </c>
      <c r="K189" s="1" t="s">
        <v>235</v>
      </c>
      <c r="L189" s="1" t="str">
        <f t="shared" si="5"/>
        <v>Feb</v>
      </c>
      <c r="M189" s="2">
        <f>(H189-_xlfn.XLOOKUP(D189,Product_Master!A:A,Product_Master!D:D))*G189</f>
        <v>600</v>
      </c>
      <c r="N189" s="13">
        <f t="shared" si="4"/>
        <v>0.44247787610619471</v>
      </c>
      <c r="O189" s="16">
        <f>G189/Inventory!$G$2</f>
        <v>0.21052631578947367</v>
      </c>
      <c r="P189"/>
      <c r="AA189"/>
      <c r="AB189"/>
      <c r="AC189"/>
    </row>
    <row r="190" spans="1:29">
      <c r="A190" s="1" t="s">
        <v>456</v>
      </c>
      <c r="B190" s="1" t="s">
        <v>122</v>
      </c>
      <c r="C190" s="1" t="s">
        <v>259</v>
      </c>
      <c r="D190" s="1" t="s">
        <v>167</v>
      </c>
      <c r="E190" s="1" t="s">
        <v>197</v>
      </c>
      <c r="F190" s="1" t="s">
        <v>17</v>
      </c>
      <c r="G190" s="1">
        <v>11</v>
      </c>
      <c r="H190" s="1">
        <v>135</v>
      </c>
      <c r="I190" s="1">
        <v>15</v>
      </c>
      <c r="J190" s="1">
        <v>1262.25</v>
      </c>
      <c r="K190" s="1" t="s">
        <v>46</v>
      </c>
      <c r="L190" s="1" t="str">
        <f t="shared" si="5"/>
        <v>Jan</v>
      </c>
      <c r="M190" s="2">
        <f>(H190-_xlfn.XLOOKUP(D190,Product_Master!A:A,Product_Master!D:D))*G190</f>
        <v>880</v>
      </c>
      <c r="N190" s="13">
        <f t="shared" si="4"/>
        <v>0.69716775599128544</v>
      </c>
      <c r="O190" s="16">
        <f>G190/Inventory!$G$2</f>
        <v>0.19298245614035087</v>
      </c>
      <c r="P190"/>
      <c r="AA190"/>
      <c r="AB190"/>
      <c r="AC190"/>
    </row>
    <row r="191" spans="1:29">
      <c r="A191" s="1" t="s">
        <v>457</v>
      </c>
      <c r="B191" s="1" t="s">
        <v>458</v>
      </c>
      <c r="C191" s="1" t="s">
        <v>72</v>
      </c>
      <c r="D191" s="1" t="s">
        <v>173</v>
      </c>
      <c r="E191" s="1" t="s">
        <v>203</v>
      </c>
      <c r="F191" s="1" t="s">
        <v>17</v>
      </c>
      <c r="G191" s="1">
        <v>14</v>
      </c>
      <c r="H191" s="1">
        <v>139</v>
      </c>
      <c r="I191" s="1">
        <v>0</v>
      </c>
      <c r="J191" s="1">
        <v>1946</v>
      </c>
      <c r="K191" s="1" t="s">
        <v>49</v>
      </c>
      <c r="L191" s="1" t="str">
        <f t="shared" si="5"/>
        <v>May</v>
      </c>
      <c r="M191" s="2">
        <f>(H191-_xlfn.XLOOKUP(D191,Product_Master!A:A,Product_Master!D:D))*G191</f>
        <v>980</v>
      </c>
      <c r="N191" s="13">
        <f t="shared" si="4"/>
        <v>0.50359712230215825</v>
      </c>
      <c r="O191" s="16">
        <f>G191/Inventory!$G$2</f>
        <v>0.24561403508771928</v>
      </c>
      <c r="P191"/>
      <c r="AA191"/>
      <c r="AB191"/>
      <c r="AC191"/>
    </row>
    <row r="192" spans="1:29">
      <c r="A192" s="1" t="s">
        <v>459</v>
      </c>
      <c r="B192" s="1" t="s">
        <v>100</v>
      </c>
      <c r="C192" s="1" t="s">
        <v>222</v>
      </c>
      <c r="D192" s="1" t="s">
        <v>162</v>
      </c>
      <c r="E192" s="1" t="s">
        <v>192</v>
      </c>
      <c r="F192" s="1" t="s">
        <v>146</v>
      </c>
      <c r="G192" s="1">
        <v>13</v>
      </c>
      <c r="H192" s="1">
        <v>168</v>
      </c>
      <c r="I192" s="1">
        <v>10</v>
      </c>
      <c r="J192" s="1">
        <v>1965.6</v>
      </c>
      <c r="K192" s="1" t="s">
        <v>76</v>
      </c>
      <c r="L192" s="1" t="str">
        <f t="shared" si="5"/>
        <v>Feb</v>
      </c>
      <c r="M192" s="2">
        <f>(H192-_xlfn.XLOOKUP(D192,Product_Master!A:A,Product_Master!D:D))*G192</f>
        <v>715</v>
      </c>
      <c r="N192" s="13">
        <f t="shared" si="4"/>
        <v>0.36375661375661378</v>
      </c>
      <c r="O192" s="16">
        <f>G192/Inventory!$G$2</f>
        <v>0.22807017543859648</v>
      </c>
      <c r="P192"/>
      <c r="AA192"/>
      <c r="AB192"/>
      <c r="AC192"/>
    </row>
    <row r="193" spans="1:29">
      <c r="A193" s="1" t="s">
        <v>460</v>
      </c>
      <c r="B193" s="1" t="s">
        <v>405</v>
      </c>
      <c r="C193" s="1" t="s">
        <v>259</v>
      </c>
      <c r="D193" s="1" t="s">
        <v>166</v>
      </c>
      <c r="E193" s="1" t="s">
        <v>196</v>
      </c>
      <c r="F193" s="1" t="s">
        <v>7</v>
      </c>
      <c r="G193" s="1">
        <v>12</v>
      </c>
      <c r="H193" s="1">
        <v>100</v>
      </c>
      <c r="I193" s="1">
        <v>0</v>
      </c>
      <c r="J193" s="1">
        <v>1200</v>
      </c>
      <c r="K193" s="1" t="s">
        <v>49</v>
      </c>
      <c r="L193" s="1" t="str">
        <f t="shared" si="5"/>
        <v>Jan</v>
      </c>
      <c r="M193" s="2">
        <f>(H193-_xlfn.XLOOKUP(D193,Product_Master!A:A,Product_Master!D:D))*G193</f>
        <v>264</v>
      </c>
      <c r="N193" s="13">
        <f t="shared" si="4"/>
        <v>0.22</v>
      </c>
      <c r="O193" s="16">
        <f>G193/Inventory!$G$2</f>
        <v>0.21052631578947367</v>
      </c>
      <c r="P193"/>
      <c r="AA193"/>
      <c r="AB193"/>
      <c r="AC193"/>
    </row>
    <row r="194" spans="1:29">
      <c r="A194" s="1" t="s">
        <v>461</v>
      </c>
      <c r="B194" s="1" t="s">
        <v>113</v>
      </c>
      <c r="C194" s="1" t="s">
        <v>224</v>
      </c>
      <c r="D194" s="1" t="s">
        <v>156</v>
      </c>
      <c r="E194" s="1" t="s">
        <v>186</v>
      </c>
      <c r="F194" s="1" t="s">
        <v>147</v>
      </c>
      <c r="G194" s="1">
        <v>3</v>
      </c>
      <c r="H194" s="1">
        <v>95</v>
      </c>
      <c r="I194" s="1">
        <v>15</v>
      </c>
      <c r="J194" s="1">
        <v>242.25</v>
      </c>
      <c r="K194" s="1" t="s">
        <v>55</v>
      </c>
      <c r="L194" s="1" t="str">
        <f t="shared" si="5"/>
        <v>Mar</v>
      </c>
      <c r="M194" s="2">
        <f>(H194-_xlfn.XLOOKUP(D194,Product_Master!A:A,Product_Master!D:D))*G194</f>
        <v>222</v>
      </c>
      <c r="N194" s="13">
        <f t="shared" si="4"/>
        <v>0.91640866873065019</v>
      </c>
      <c r="O194" s="16">
        <f>G194/Inventory!$G$2</f>
        <v>5.2631578947368418E-2</v>
      </c>
      <c r="P194"/>
      <c r="AA194"/>
      <c r="AB194"/>
      <c r="AC194"/>
    </row>
    <row r="195" spans="1:29">
      <c r="A195" s="1" t="s">
        <v>462</v>
      </c>
      <c r="B195" s="1" t="s">
        <v>52</v>
      </c>
      <c r="C195" s="1" t="s">
        <v>211</v>
      </c>
      <c r="D195" s="1" t="s">
        <v>154</v>
      </c>
      <c r="E195" s="1" t="s">
        <v>184</v>
      </c>
      <c r="F195" s="1" t="s">
        <v>17</v>
      </c>
      <c r="G195" s="1">
        <v>3</v>
      </c>
      <c r="H195" s="1">
        <v>151</v>
      </c>
      <c r="I195" s="1">
        <v>15</v>
      </c>
      <c r="J195" s="1">
        <v>385.05</v>
      </c>
      <c r="K195" s="1" t="s">
        <v>235</v>
      </c>
      <c r="L195" s="1" t="str">
        <f t="shared" si="5"/>
        <v>Apr</v>
      </c>
      <c r="M195" s="2">
        <f>(H195-_xlfn.XLOOKUP(D195,Product_Master!A:A,Product_Master!D:D))*G195</f>
        <v>159</v>
      </c>
      <c r="N195" s="13">
        <f t="shared" ref="N195:N258" si="6">M195/J195</f>
        <v>0.41293338527463963</v>
      </c>
      <c r="O195" s="16">
        <f>G195/Inventory!$G$2</f>
        <v>5.2631578947368418E-2</v>
      </c>
      <c r="P195"/>
      <c r="AA195"/>
      <c r="AB195"/>
      <c r="AC195"/>
    </row>
    <row r="196" spans="1:29">
      <c r="A196" s="1" t="s">
        <v>463</v>
      </c>
      <c r="B196" s="1" t="s">
        <v>407</v>
      </c>
      <c r="C196" s="1" t="s">
        <v>224</v>
      </c>
      <c r="D196" s="1" t="s">
        <v>157</v>
      </c>
      <c r="E196" s="1" t="s">
        <v>187</v>
      </c>
      <c r="F196" s="1" t="s">
        <v>7</v>
      </c>
      <c r="G196" s="1">
        <v>7</v>
      </c>
      <c r="H196" s="1">
        <v>61</v>
      </c>
      <c r="I196" s="1">
        <v>15</v>
      </c>
      <c r="J196" s="1">
        <v>362.95</v>
      </c>
      <c r="K196" s="1" t="s">
        <v>46</v>
      </c>
      <c r="L196" s="1" t="str">
        <f t="shared" ref="L196:L259" si="7">TEXT(B196,"mmm")</f>
        <v>May</v>
      </c>
      <c r="M196" s="2">
        <f>(H196-_xlfn.XLOOKUP(D196,Product_Master!A:A,Product_Master!D:D))*G196</f>
        <v>357</v>
      </c>
      <c r="N196" s="13">
        <f t="shared" si="6"/>
        <v>0.98360655737704916</v>
      </c>
      <c r="O196" s="16">
        <f>G196/Inventory!$G$2</f>
        <v>0.12280701754385964</v>
      </c>
      <c r="P196"/>
      <c r="AA196"/>
      <c r="AB196"/>
      <c r="AC196"/>
    </row>
    <row r="197" spans="1:29">
      <c r="A197" s="1" t="s">
        <v>464</v>
      </c>
      <c r="B197" s="1" t="s">
        <v>465</v>
      </c>
      <c r="C197" s="1" t="s">
        <v>45</v>
      </c>
      <c r="D197" s="1" t="s">
        <v>164</v>
      </c>
      <c r="E197" s="1" t="s">
        <v>194</v>
      </c>
      <c r="F197" s="1" t="s">
        <v>147</v>
      </c>
      <c r="G197" s="1">
        <v>13</v>
      </c>
      <c r="H197" s="1">
        <v>135</v>
      </c>
      <c r="I197" s="1">
        <v>5</v>
      </c>
      <c r="J197" s="1">
        <v>1667.25</v>
      </c>
      <c r="K197" s="1" t="s">
        <v>235</v>
      </c>
      <c r="L197" s="1" t="str">
        <f t="shared" si="7"/>
        <v>May</v>
      </c>
      <c r="M197" s="2">
        <f>(H197-_xlfn.XLOOKUP(D197,Product_Master!A:A,Product_Master!D:D))*G197</f>
        <v>559</v>
      </c>
      <c r="N197" s="13">
        <f t="shared" si="6"/>
        <v>0.33528265107212474</v>
      </c>
      <c r="O197" s="16">
        <f>G197/Inventory!$G$2</f>
        <v>0.22807017543859648</v>
      </c>
      <c r="P197"/>
      <c r="AA197"/>
      <c r="AB197"/>
      <c r="AC197"/>
    </row>
    <row r="198" spans="1:29">
      <c r="A198" s="1" t="s">
        <v>466</v>
      </c>
      <c r="B198" s="1" t="s">
        <v>467</v>
      </c>
      <c r="C198" s="1" t="s">
        <v>54</v>
      </c>
      <c r="D198" s="1" t="s">
        <v>154</v>
      </c>
      <c r="E198" s="1" t="s">
        <v>184</v>
      </c>
      <c r="F198" s="1" t="s">
        <v>17</v>
      </c>
      <c r="G198" s="1">
        <v>3</v>
      </c>
      <c r="H198" s="1">
        <v>151</v>
      </c>
      <c r="I198" s="1">
        <v>0</v>
      </c>
      <c r="J198" s="1">
        <v>453</v>
      </c>
      <c r="K198" s="1" t="s">
        <v>46</v>
      </c>
      <c r="L198" s="1" t="str">
        <f t="shared" si="7"/>
        <v>May</v>
      </c>
      <c r="M198" s="2">
        <f>(H198-_xlfn.XLOOKUP(D198,Product_Master!A:A,Product_Master!D:D))*G198</f>
        <v>159</v>
      </c>
      <c r="N198" s="13">
        <f t="shared" si="6"/>
        <v>0.35099337748344372</v>
      </c>
      <c r="O198" s="16">
        <f>G198/Inventory!$G$2</f>
        <v>5.2631578947368418E-2</v>
      </c>
      <c r="P198"/>
      <c r="AA198"/>
      <c r="AB198"/>
      <c r="AC198"/>
    </row>
    <row r="199" spans="1:29">
      <c r="A199" s="1" t="s">
        <v>468</v>
      </c>
      <c r="B199" s="1" t="s">
        <v>243</v>
      </c>
      <c r="C199" s="1" t="s">
        <v>65</v>
      </c>
      <c r="D199" s="1" t="s">
        <v>20</v>
      </c>
      <c r="E199" s="1" t="s">
        <v>21</v>
      </c>
      <c r="F199" s="1" t="s">
        <v>10</v>
      </c>
      <c r="G199" s="1">
        <v>9</v>
      </c>
      <c r="H199" s="1">
        <v>128</v>
      </c>
      <c r="I199" s="1">
        <v>5</v>
      </c>
      <c r="J199" s="1">
        <v>1094.4000000000001</v>
      </c>
      <c r="K199" s="1" t="s">
        <v>235</v>
      </c>
      <c r="L199" s="1" t="str">
        <f t="shared" si="7"/>
        <v>Jun</v>
      </c>
      <c r="M199" s="2">
        <f>(H199-_xlfn.XLOOKUP(D199,Product_Master!A:A,Product_Master!D:D))*G199</f>
        <v>477</v>
      </c>
      <c r="N199" s="13">
        <f t="shared" si="6"/>
        <v>0.43585526315789469</v>
      </c>
      <c r="O199" s="16">
        <f>G199/Inventory!$G$2</f>
        <v>0.15789473684210525</v>
      </c>
      <c r="P199"/>
      <c r="AA199"/>
      <c r="AB199"/>
      <c r="AC199"/>
    </row>
    <row r="200" spans="1:29">
      <c r="A200" s="1" t="s">
        <v>469</v>
      </c>
      <c r="B200" s="1" t="s">
        <v>63</v>
      </c>
      <c r="C200" s="1" t="s">
        <v>72</v>
      </c>
      <c r="D200" s="1" t="s">
        <v>11</v>
      </c>
      <c r="E200" s="1" t="s">
        <v>12</v>
      </c>
      <c r="F200" s="1" t="s">
        <v>147</v>
      </c>
      <c r="G200" s="1">
        <v>15</v>
      </c>
      <c r="H200" s="1">
        <v>86</v>
      </c>
      <c r="I200" s="1">
        <v>15</v>
      </c>
      <c r="J200" s="1">
        <v>1096.5</v>
      </c>
      <c r="K200" s="1" t="s">
        <v>55</v>
      </c>
      <c r="L200" s="1" t="str">
        <f t="shared" si="7"/>
        <v>Feb</v>
      </c>
      <c r="M200" s="2">
        <f>(H200-_xlfn.XLOOKUP(D200,Product_Master!A:A,Product_Master!D:D))*G200</f>
        <v>300</v>
      </c>
      <c r="N200" s="13">
        <f t="shared" si="6"/>
        <v>0.27359781121751026</v>
      </c>
      <c r="O200" s="16">
        <f>G200/Inventory!$G$2</f>
        <v>0.26315789473684209</v>
      </c>
      <c r="P200"/>
      <c r="AA200"/>
      <c r="AB200"/>
      <c r="AC200"/>
    </row>
    <row r="201" spans="1:29">
      <c r="A201" s="1" t="s">
        <v>470</v>
      </c>
      <c r="B201" s="1" t="s">
        <v>136</v>
      </c>
      <c r="C201" s="1" t="s">
        <v>54</v>
      </c>
      <c r="D201" s="1" t="s">
        <v>15</v>
      </c>
      <c r="E201" s="1" t="s">
        <v>16</v>
      </c>
      <c r="F201" s="1" t="s">
        <v>10</v>
      </c>
      <c r="G201" s="1">
        <v>4</v>
      </c>
      <c r="H201" s="1">
        <v>98</v>
      </c>
      <c r="I201" s="1">
        <v>10</v>
      </c>
      <c r="J201" s="1">
        <v>352.8</v>
      </c>
      <c r="K201" s="1" t="s">
        <v>46</v>
      </c>
      <c r="L201" s="1" t="str">
        <f t="shared" si="7"/>
        <v>Jan</v>
      </c>
      <c r="M201" s="2">
        <f>(H201-_xlfn.XLOOKUP(D201,Product_Master!A:A,Product_Master!D:D))*G201</f>
        <v>232</v>
      </c>
      <c r="N201" s="13">
        <f t="shared" si="6"/>
        <v>0.65759637188208619</v>
      </c>
      <c r="O201" s="16">
        <f>G201/Inventory!$G$2</f>
        <v>7.0175438596491224E-2</v>
      </c>
      <c r="P201"/>
      <c r="AA201"/>
      <c r="AB201"/>
      <c r="AC201"/>
    </row>
    <row r="202" spans="1:29">
      <c r="A202" s="1" t="s">
        <v>471</v>
      </c>
      <c r="B202" s="1" t="s">
        <v>210</v>
      </c>
      <c r="C202" s="1" t="s">
        <v>69</v>
      </c>
      <c r="D202" s="1" t="s">
        <v>169</v>
      </c>
      <c r="E202" s="1" t="s">
        <v>199</v>
      </c>
      <c r="F202" s="1" t="s">
        <v>10</v>
      </c>
      <c r="G202" s="1">
        <v>2</v>
      </c>
      <c r="H202" s="1">
        <v>130</v>
      </c>
      <c r="I202" s="1">
        <v>10</v>
      </c>
      <c r="J202" s="1">
        <v>234</v>
      </c>
      <c r="K202" s="1" t="s">
        <v>215</v>
      </c>
      <c r="L202" s="1" t="str">
        <f t="shared" si="7"/>
        <v>Jun</v>
      </c>
      <c r="M202" s="2">
        <f>(H202-_xlfn.XLOOKUP(D202,Product_Master!A:A,Product_Master!D:D))*G202</f>
        <v>90</v>
      </c>
      <c r="N202" s="13">
        <f t="shared" si="6"/>
        <v>0.38461538461538464</v>
      </c>
      <c r="O202" s="16">
        <f>G202/Inventory!$G$2</f>
        <v>3.5087719298245612E-2</v>
      </c>
      <c r="P202"/>
      <c r="AA202"/>
      <c r="AB202"/>
      <c r="AC202"/>
    </row>
    <row r="203" spans="1:29">
      <c r="A203" s="1" t="s">
        <v>472</v>
      </c>
      <c r="B203" s="1" t="s">
        <v>392</v>
      </c>
      <c r="C203" s="1" t="s">
        <v>224</v>
      </c>
      <c r="D203" s="1" t="s">
        <v>20</v>
      </c>
      <c r="E203" s="1" t="s">
        <v>21</v>
      </c>
      <c r="F203" s="1" t="s">
        <v>10</v>
      </c>
      <c r="G203" s="1">
        <v>9</v>
      </c>
      <c r="H203" s="1">
        <v>128</v>
      </c>
      <c r="I203" s="1">
        <v>0</v>
      </c>
      <c r="J203" s="1">
        <v>1152</v>
      </c>
      <c r="K203" s="1" t="s">
        <v>76</v>
      </c>
      <c r="L203" s="1" t="str">
        <f t="shared" si="7"/>
        <v>Jan</v>
      </c>
      <c r="M203" s="2">
        <f>(H203-_xlfn.XLOOKUP(D203,Product_Master!A:A,Product_Master!D:D))*G203</f>
        <v>477</v>
      </c>
      <c r="N203" s="13">
        <f t="shared" si="6"/>
        <v>0.4140625</v>
      </c>
      <c r="O203" s="16">
        <f>G203/Inventory!$G$2</f>
        <v>0.15789473684210525</v>
      </c>
      <c r="P203"/>
      <c r="AA203"/>
      <c r="AB203"/>
      <c r="AC203"/>
    </row>
    <row r="204" spans="1:29">
      <c r="A204" s="1" t="s">
        <v>473</v>
      </c>
      <c r="B204" s="1" t="s">
        <v>122</v>
      </c>
      <c r="C204" s="1" t="s">
        <v>54</v>
      </c>
      <c r="D204" s="1" t="s">
        <v>167</v>
      </c>
      <c r="E204" s="1" t="s">
        <v>197</v>
      </c>
      <c r="F204" s="1" t="s">
        <v>17</v>
      </c>
      <c r="G204" s="1">
        <v>12</v>
      </c>
      <c r="H204" s="1">
        <v>135</v>
      </c>
      <c r="I204" s="1">
        <v>15</v>
      </c>
      <c r="J204" s="1">
        <v>1377</v>
      </c>
      <c r="K204" s="1" t="s">
        <v>49</v>
      </c>
      <c r="L204" s="1" t="str">
        <f t="shared" si="7"/>
        <v>Jan</v>
      </c>
      <c r="M204" s="2">
        <f>(H204-_xlfn.XLOOKUP(D204,Product_Master!A:A,Product_Master!D:D))*G204</f>
        <v>960</v>
      </c>
      <c r="N204" s="13">
        <f t="shared" si="6"/>
        <v>0.69716775599128544</v>
      </c>
      <c r="O204" s="16">
        <f>G204/Inventory!$G$2</f>
        <v>0.21052631578947367</v>
      </c>
      <c r="P204"/>
      <c r="AA204"/>
      <c r="AB204"/>
      <c r="AC204"/>
    </row>
    <row r="205" spans="1:29">
      <c r="A205" s="1" t="s">
        <v>474</v>
      </c>
      <c r="B205" s="1" t="s">
        <v>98</v>
      </c>
      <c r="C205" s="1" t="s">
        <v>211</v>
      </c>
      <c r="D205" s="1" t="s">
        <v>177</v>
      </c>
      <c r="E205" s="1" t="s">
        <v>207</v>
      </c>
      <c r="F205" s="1" t="s">
        <v>146</v>
      </c>
      <c r="G205" s="1">
        <v>13</v>
      </c>
      <c r="H205" s="1">
        <v>145</v>
      </c>
      <c r="I205" s="1">
        <v>10</v>
      </c>
      <c r="J205" s="1">
        <v>1696.5</v>
      </c>
      <c r="K205" s="1" t="s">
        <v>76</v>
      </c>
      <c r="L205" s="1" t="str">
        <f t="shared" si="7"/>
        <v>Feb</v>
      </c>
      <c r="M205" s="2">
        <f>(H205-_xlfn.XLOOKUP(D205,Product_Master!A:A,Product_Master!D:D))*G205</f>
        <v>1066</v>
      </c>
      <c r="N205" s="13">
        <f t="shared" si="6"/>
        <v>0.62835249042145591</v>
      </c>
      <c r="O205" s="16">
        <f>G205/Inventory!$G$2</f>
        <v>0.22807017543859648</v>
      </c>
      <c r="P205"/>
      <c r="AA205"/>
      <c r="AB205"/>
      <c r="AC205"/>
    </row>
    <row r="206" spans="1:29">
      <c r="A206" s="1" t="s">
        <v>475</v>
      </c>
      <c r="B206" s="1" t="s">
        <v>101</v>
      </c>
      <c r="C206" s="1" t="s">
        <v>57</v>
      </c>
      <c r="D206" s="1" t="s">
        <v>154</v>
      </c>
      <c r="E206" s="1" t="s">
        <v>184</v>
      </c>
      <c r="F206" s="1" t="s">
        <v>17</v>
      </c>
      <c r="G206" s="1">
        <v>6</v>
      </c>
      <c r="H206" s="1">
        <v>151</v>
      </c>
      <c r="I206" s="1">
        <v>10</v>
      </c>
      <c r="J206" s="1">
        <v>815.4</v>
      </c>
      <c r="K206" s="1" t="s">
        <v>55</v>
      </c>
      <c r="L206" s="1" t="str">
        <f t="shared" si="7"/>
        <v>Jan</v>
      </c>
      <c r="M206" s="2">
        <f>(H206-_xlfn.XLOOKUP(D206,Product_Master!A:A,Product_Master!D:D))*G206</f>
        <v>318</v>
      </c>
      <c r="N206" s="13">
        <f t="shared" si="6"/>
        <v>0.3899926416482708</v>
      </c>
      <c r="O206" s="16">
        <f>G206/Inventory!$G$2</f>
        <v>0.10526315789473684</v>
      </c>
      <c r="P206"/>
      <c r="AA206"/>
      <c r="AB206"/>
      <c r="AC206"/>
    </row>
    <row r="207" spans="1:29">
      <c r="A207" s="1" t="s">
        <v>476</v>
      </c>
      <c r="B207" s="1" t="s">
        <v>133</v>
      </c>
      <c r="C207" s="1" t="s">
        <v>224</v>
      </c>
      <c r="D207" s="1" t="s">
        <v>5</v>
      </c>
      <c r="E207" s="1" t="s">
        <v>6</v>
      </c>
      <c r="F207" s="1" t="s">
        <v>7</v>
      </c>
      <c r="G207" s="1">
        <v>8</v>
      </c>
      <c r="H207" s="1">
        <v>74</v>
      </c>
      <c r="I207" s="1">
        <v>10</v>
      </c>
      <c r="J207" s="1">
        <v>532.79999999999995</v>
      </c>
      <c r="K207" s="1" t="s">
        <v>215</v>
      </c>
      <c r="L207" s="1" t="str">
        <f t="shared" si="7"/>
        <v>Jan</v>
      </c>
      <c r="M207" s="2">
        <f>(H207-_xlfn.XLOOKUP(D207,Product_Master!A:A,Product_Master!D:D))*G207</f>
        <v>224</v>
      </c>
      <c r="N207" s="13">
        <f t="shared" si="6"/>
        <v>0.42042042042042044</v>
      </c>
      <c r="O207" s="16">
        <f>G207/Inventory!$G$2</f>
        <v>0.14035087719298245</v>
      </c>
      <c r="P207"/>
      <c r="AA207"/>
      <c r="AB207"/>
      <c r="AC207"/>
    </row>
    <row r="208" spans="1:29">
      <c r="A208" s="1" t="s">
        <v>477</v>
      </c>
      <c r="B208" s="1" t="s">
        <v>107</v>
      </c>
      <c r="C208" s="1" t="s">
        <v>211</v>
      </c>
      <c r="D208" s="1" t="s">
        <v>176</v>
      </c>
      <c r="E208" s="1" t="s">
        <v>206</v>
      </c>
      <c r="F208" s="1" t="s">
        <v>146</v>
      </c>
      <c r="G208" s="1">
        <v>6</v>
      </c>
      <c r="H208" s="1">
        <v>181</v>
      </c>
      <c r="I208" s="1">
        <v>15</v>
      </c>
      <c r="J208" s="1">
        <v>923.1</v>
      </c>
      <c r="K208" s="1" t="s">
        <v>215</v>
      </c>
      <c r="L208" s="1" t="str">
        <f t="shared" si="7"/>
        <v>Jan</v>
      </c>
      <c r="M208" s="2">
        <f>(H208-_xlfn.XLOOKUP(D208,Product_Master!A:A,Product_Master!D:D))*G208</f>
        <v>378</v>
      </c>
      <c r="N208" s="13">
        <f t="shared" si="6"/>
        <v>0.40948976275593107</v>
      </c>
      <c r="O208" s="16">
        <f>G208/Inventory!$G$2</f>
        <v>0.10526315789473684</v>
      </c>
      <c r="P208"/>
      <c r="AA208"/>
      <c r="AB208"/>
      <c r="AC208"/>
    </row>
    <row r="209" spans="1:29">
      <c r="A209" s="1" t="s">
        <v>478</v>
      </c>
      <c r="B209" s="1" t="s">
        <v>479</v>
      </c>
      <c r="C209" s="1" t="s">
        <v>65</v>
      </c>
      <c r="D209" s="1" t="s">
        <v>156</v>
      </c>
      <c r="E209" s="1" t="s">
        <v>186</v>
      </c>
      <c r="F209" s="1" t="s">
        <v>147</v>
      </c>
      <c r="G209" s="1">
        <v>2</v>
      </c>
      <c r="H209" s="1">
        <v>95</v>
      </c>
      <c r="I209" s="1">
        <v>10</v>
      </c>
      <c r="J209" s="1">
        <v>171</v>
      </c>
      <c r="K209" s="1" t="s">
        <v>49</v>
      </c>
      <c r="L209" s="1" t="str">
        <f t="shared" si="7"/>
        <v>May</v>
      </c>
      <c r="M209" s="2">
        <f>(H209-_xlfn.XLOOKUP(D209,Product_Master!A:A,Product_Master!D:D))*G209</f>
        <v>148</v>
      </c>
      <c r="N209" s="13">
        <f t="shared" si="6"/>
        <v>0.86549707602339176</v>
      </c>
      <c r="O209" s="16">
        <f>G209/Inventory!$G$2</f>
        <v>3.5087719298245612E-2</v>
      </c>
      <c r="P209"/>
      <c r="AA209"/>
      <c r="AB209"/>
      <c r="AC209"/>
    </row>
    <row r="210" spans="1:29">
      <c r="A210" s="1" t="s">
        <v>480</v>
      </c>
      <c r="B210" s="1" t="s">
        <v>66</v>
      </c>
      <c r="C210" s="1" t="s">
        <v>211</v>
      </c>
      <c r="D210" s="1" t="s">
        <v>26</v>
      </c>
      <c r="E210" s="1" t="s">
        <v>27</v>
      </c>
      <c r="F210" s="1" t="s">
        <v>147</v>
      </c>
      <c r="G210" s="1">
        <v>3</v>
      </c>
      <c r="H210" s="1">
        <v>160</v>
      </c>
      <c r="I210" s="1">
        <v>5</v>
      </c>
      <c r="J210" s="1">
        <v>456</v>
      </c>
      <c r="K210" s="1" t="s">
        <v>235</v>
      </c>
      <c r="L210" s="1" t="str">
        <f t="shared" si="7"/>
        <v>Apr</v>
      </c>
      <c r="M210" s="2">
        <f>(H210-_xlfn.XLOOKUP(D210,Product_Master!A:A,Product_Master!D:D))*G210</f>
        <v>198</v>
      </c>
      <c r="N210" s="13">
        <f t="shared" si="6"/>
        <v>0.43421052631578949</v>
      </c>
      <c r="O210" s="16">
        <f>G210/Inventory!$G$2</f>
        <v>5.2631578947368418E-2</v>
      </c>
      <c r="P210"/>
      <c r="AA210"/>
      <c r="AB210"/>
      <c r="AC210"/>
    </row>
    <row r="211" spans="1:29">
      <c r="A211" s="1" t="s">
        <v>481</v>
      </c>
      <c r="B211" s="1" t="s">
        <v>142</v>
      </c>
      <c r="C211" s="1" t="s">
        <v>259</v>
      </c>
      <c r="D211" s="1" t="s">
        <v>11</v>
      </c>
      <c r="E211" s="1" t="s">
        <v>12</v>
      </c>
      <c r="F211" s="1" t="s">
        <v>147</v>
      </c>
      <c r="G211" s="1">
        <v>6</v>
      </c>
      <c r="H211" s="1">
        <v>86</v>
      </c>
      <c r="I211" s="1">
        <v>5</v>
      </c>
      <c r="J211" s="1">
        <v>490.2</v>
      </c>
      <c r="K211" s="1" t="s">
        <v>46</v>
      </c>
      <c r="L211" s="1" t="str">
        <f t="shared" si="7"/>
        <v>Feb</v>
      </c>
      <c r="M211" s="2">
        <f>(H211-_xlfn.XLOOKUP(D211,Product_Master!A:A,Product_Master!D:D))*G211</f>
        <v>120</v>
      </c>
      <c r="N211" s="13">
        <f t="shared" si="6"/>
        <v>0.24479804161566707</v>
      </c>
      <c r="O211" s="16">
        <f>G211/Inventory!$G$2</f>
        <v>0.10526315789473684</v>
      </c>
      <c r="P211"/>
      <c r="AA211"/>
      <c r="AB211"/>
      <c r="AC211"/>
    </row>
    <row r="212" spans="1:29">
      <c r="A212" s="1" t="s">
        <v>482</v>
      </c>
      <c r="B212" s="1" t="s">
        <v>102</v>
      </c>
      <c r="C212" s="1" t="s">
        <v>65</v>
      </c>
      <c r="D212" s="1" t="s">
        <v>22</v>
      </c>
      <c r="E212" s="1" t="s">
        <v>23</v>
      </c>
      <c r="F212" s="1" t="s">
        <v>10</v>
      </c>
      <c r="G212" s="1">
        <v>14</v>
      </c>
      <c r="H212" s="1">
        <v>76</v>
      </c>
      <c r="I212" s="1">
        <v>15</v>
      </c>
      <c r="J212" s="1">
        <v>904.4</v>
      </c>
      <c r="K212" s="1" t="s">
        <v>215</v>
      </c>
      <c r="L212" s="1" t="str">
        <f t="shared" si="7"/>
        <v>Apr</v>
      </c>
      <c r="M212" s="2">
        <f>(H212-_xlfn.XLOOKUP(D212,Product_Master!A:A,Product_Master!D:D))*G212</f>
        <v>420</v>
      </c>
      <c r="N212" s="13">
        <f t="shared" si="6"/>
        <v>0.4643962848297214</v>
      </c>
      <c r="O212" s="16">
        <f>G212/Inventory!$G$2</f>
        <v>0.24561403508771928</v>
      </c>
      <c r="P212"/>
      <c r="Q212"/>
      <c r="AA212"/>
      <c r="AB212"/>
      <c r="AC212"/>
    </row>
    <row r="213" spans="1:29">
      <c r="A213" s="1" t="s">
        <v>483</v>
      </c>
      <c r="B213" s="1" t="s">
        <v>120</v>
      </c>
      <c r="C213" s="1" t="s">
        <v>51</v>
      </c>
      <c r="D213" s="1" t="s">
        <v>155</v>
      </c>
      <c r="E213" s="1" t="s">
        <v>185</v>
      </c>
      <c r="F213" s="1" t="s">
        <v>7</v>
      </c>
      <c r="G213" s="1">
        <v>11</v>
      </c>
      <c r="H213" s="1">
        <v>156</v>
      </c>
      <c r="I213" s="1">
        <v>10</v>
      </c>
      <c r="J213" s="1">
        <v>1544.4</v>
      </c>
      <c r="K213" s="1" t="s">
        <v>49</v>
      </c>
      <c r="L213" s="1" t="str">
        <f t="shared" si="7"/>
        <v>Apr</v>
      </c>
      <c r="M213" s="2">
        <f>(H213-_xlfn.XLOOKUP(D213,Product_Master!A:A,Product_Master!D:D))*G213</f>
        <v>693</v>
      </c>
      <c r="N213" s="13">
        <f t="shared" si="6"/>
        <v>0.44871794871794868</v>
      </c>
      <c r="O213" s="16">
        <f>G213/Inventory!$G$2</f>
        <v>0.19298245614035087</v>
      </c>
      <c r="P213"/>
      <c r="Q213"/>
      <c r="AA213"/>
      <c r="AB213"/>
      <c r="AC213"/>
    </row>
    <row r="214" spans="1:29">
      <c r="A214" s="1" t="s">
        <v>484</v>
      </c>
      <c r="B214" s="1" t="s">
        <v>58</v>
      </c>
      <c r="C214" s="1" t="s">
        <v>54</v>
      </c>
      <c r="D214" s="1" t="s">
        <v>150</v>
      </c>
      <c r="E214" s="1" t="s">
        <v>180</v>
      </c>
      <c r="F214" s="1" t="s">
        <v>17</v>
      </c>
      <c r="G214" s="1">
        <v>5</v>
      </c>
      <c r="H214" s="1">
        <v>143</v>
      </c>
      <c r="I214" s="1">
        <v>5</v>
      </c>
      <c r="J214" s="1">
        <v>679.25</v>
      </c>
      <c r="K214" s="1" t="s">
        <v>76</v>
      </c>
      <c r="L214" s="1" t="str">
        <f t="shared" si="7"/>
        <v>Apr</v>
      </c>
      <c r="M214" s="2">
        <f>(H214-_xlfn.XLOOKUP(D214,Product_Master!A:A,Product_Master!D:D))*G214</f>
        <v>210</v>
      </c>
      <c r="N214" s="13">
        <f t="shared" si="6"/>
        <v>0.30916451969083547</v>
      </c>
      <c r="O214" s="16">
        <f>G214/Inventory!$G$2</f>
        <v>8.771929824561403E-2</v>
      </c>
      <c r="P214"/>
      <c r="Q214"/>
      <c r="AA214"/>
      <c r="AB214"/>
      <c r="AC214"/>
    </row>
    <row r="215" spans="1:29">
      <c r="A215" s="1" t="s">
        <v>485</v>
      </c>
      <c r="B215" s="1" t="s">
        <v>486</v>
      </c>
      <c r="C215" s="1" t="s">
        <v>65</v>
      </c>
      <c r="D215" s="1" t="s">
        <v>169</v>
      </c>
      <c r="E215" s="1" t="s">
        <v>199</v>
      </c>
      <c r="F215" s="1" t="s">
        <v>10</v>
      </c>
      <c r="G215" s="1">
        <v>8</v>
      </c>
      <c r="H215" s="1">
        <v>130</v>
      </c>
      <c r="I215" s="1">
        <v>0</v>
      </c>
      <c r="J215" s="1">
        <v>1040</v>
      </c>
      <c r="K215" s="1" t="s">
        <v>46</v>
      </c>
      <c r="L215" s="1" t="str">
        <f t="shared" si="7"/>
        <v>Jun</v>
      </c>
      <c r="M215" s="2">
        <f>(H215-_xlfn.XLOOKUP(D215,Product_Master!A:A,Product_Master!D:D))*G215</f>
        <v>360</v>
      </c>
      <c r="N215" s="13">
        <f t="shared" si="6"/>
        <v>0.34615384615384615</v>
      </c>
      <c r="O215" s="16">
        <f>G215/Inventory!$G$2</f>
        <v>0.14035087719298245</v>
      </c>
      <c r="P215"/>
      <c r="Q215"/>
      <c r="AA215"/>
      <c r="AB215"/>
      <c r="AC215"/>
    </row>
    <row r="216" spans="1:29">
      <c r="A216" s="1" t="s">
        <v>487</v>
      </c>
      <c r="B216" s="1" t="s">
        <v>111</v>
      </c>
      <c r="C216" s="1" t="s">
        <v>57</v>
      </c>
      <c r="D216" s="1" t="s">
        <v>150</v>
      </c>
      <c r="E216" s="1" t="s">
        <v>180</v>
      </c>
      <c r="F216" s="1" t="s">
        <v>17</v>
      </c>
      <c r="G216" s="1">
        <v>1</v>
      </c>
      <c r="H216" s="1">
        <v>143</v>
      </c>
      <c r="I216" s="1">
        <v>15</v>
      </c>
      <c r="J216" s="1">
        <v>121.55</v>
      </c>
      <c r="K216" s="1" t="s">
        <v>235</v>
      </c>
      <c r="L216" s="1" t="str">
        <f t="shared" si="7"/>
        <v>Feb</v>
      </c>
      <c r="M216" s="2">
        <f>(H216-_xlfn.XLOOKUP(D216,Product_Master!A:A,Product_Master!D:D))*G216</f>
        <v>42</v>
      </c>
      <c r="N216" s="13">
        <f t="shared" si="6"/>
        <v>0.34553681612505144</v>
      </c>
      <c r="O216" s="16">
        <f>G216/Inventory!$G$2</f>
        <v>1.7543859649122806E-2</v>
      </c>
      <c r="P216"/>
      <c r="Q216"/>
      <c r="AA216"/>
      <c r="AB216"/>
      <c r="AC216"/>
    </row>
    <row r="217" spans="1:29">
      <c r="A217" s="1" t="s">
        <v>488</v>
      </c>
      <c r="B217" s="1" t="s">
        <v>489</v>
      </c>
      <c r="C217" s="1" t="s">
        <v>57</v>
      </c>
      <c r="D217" s="1" t="s">
        <v>164</v>
      </c>
      <c r="E217" s="1" t="s">
        <v>194</v>
      </c>
      <c r="F217" s="1" t="s">
        <v>147</v>
      </c>
      <c r="G217" s="1">
        <v>11</v>
      </c>
      <c r="H217" s="1">
        <v>135</v>
      </c>
      <c r="I217" s="1">
        <v>0</v>
      </c>
      <c r="J217" s="1">
        <v>1485</v>
      </c>
      <c r="K217" s="1" t="s">
        <v>49</v>
      </c>
      <c r="L217" s="1" t="str">
        <f t="shared" si="7"/>
        <v>May</v>
      </c>
      <c r="M217" s="2">
        <f>(H217-_xlfn.XLOOKUP(D217,Product_Master!A:A,Product_Master!D:D))*G217</f>
        <v>473</v>
      </c>
      <c r="N217" s="13">
        <f t="shared" si="6"/>
        <v>0.31851851851851853</v>
      </c>
      <c r="O217" s="16">
        <f>G217/Inventory!$G$2</f>
        <v>0.19298245614035087</v>
      </c>
      <c r="P217"/>
      <c r="Q217"/>
      <c r="AA217"/>
      <c r="AB217"/>
      <c r="AC217"/>
    </row>
    <row r="218" spans="1:29">
      <c r="A218" s="1" t="s">
        <v>490</v>
      </c>
      <c r="B218" s="1" t="s">
        <v>122</v>
      </c>
      <c r="C218" s="1" t="s">
        <v>259</v>
      </c>
      <c r="D218" s="1" t="s">
        <v>11</v>
      </c>
      <c r="E218" s="1" t="s">
        <v>12</v>
      </c>
      <c r="F218" s="1" t="s">
        <v>147</v>
      </c>
      <c r="G218" s="1">
        <v>7</v>
      </c>
      <c r="H218" s="1">
        <v>86</v>
      </c>
      <c r="I218" s="1">
        <v>15</v>
      </c>
      <c r="J218" s="1">
        <v>511.7</v>
      </c>
      <c r="K218" s="1" t="s">
        <v>215</v>
      </c>
      <c r="L218" s="1" t="str">
        <f t="shared" si="7"/>
        <v>Jan</v>
      </c>
      <c r="M218" s="2">
        <f>(H218-_xlfn.XLOOKUP(D218,Product_Master!A:A,Product_Master!D:D))*G218</f>
        <v>140</v>
      </c>
      <c r="N218" s="13">
        <f t="shared" si="6"/>
        <v>0.27359781121751026</v>
      </c>
      <c r="O218" s="16">
        <f>G218/Inventory!$G$2</f>
        <v>0.12280701754385964</v>
      </c>
      <c r="P218"/>
      <c r="Q218"/>
      <c r="AA218"/>
      <c r="AB218"/>
      <c r="AC218"/>
    </row>
    <row r="219" spans="1:29">
      <c r="A219" s="1" t="s">
        <v>491</v>
      </c>
      <c r="B219" s="1" t="s">
        <v>241</v>
      </c>
      <c r="C219" s="1" t="s">
        <v>69</v>
      </c>
      <c r="D219" s="1" t="s">
        <v>164</v>
      </c>
      <c r="E219" s="1" t="s">
        <v>194</v>
      </c>
      <c r="F219" s="1" t="s">
        <v>147</v>
      </c>
      <c r="G219" s="1">
        <v>10</v>
      </c>
      <c r="H219" s="1">
        <v>135</v>
      </c>
      <c r="I219" s="1">
        <v>10</v>
      </c>
      <c r="J219" s="1">
        <v>1215</v>
      </c>
      <c r="K219" s="1" t="s">
        <v>55</v>
      </c>
      <c r="L219" s="1" t="str">
        <f t="shared" si="7"/>
        <v>May</v>
      </c>
      <c r="M219" s="2">
        <f>(H219-_xlfn.XLOOKUP(D219,Product_Master!A:A,Product_Master!D:D))*G219</f>
        <v>430</v>
      </c>
      <c r="N219" s="13">
        <f t="shared" si="6"/>
        <v>0.35390946502057613</v>
      </c>
      <c r="O219" s="16">
        <f>G219/Inventory!$G$2</f>
        <v>0.17543859649122806</v>
      </c>
      <c r="P219"/>
      <c r="Q219"/>
      <c r="AA219"/>
      <c r="AB219"/>
      <c r="AC219"/>
    </row>
    <row r="220" spans="1:29">
      <c r="A220" s="1" t="s">
        <v>492</v>
      </c>
      <c r="B220" s="1" t="s">
        <v>135</v>
      </c>
      <c r="C220" s="1" t="s">
        <v>45</v>
      </c>
      <c r="D220" s="1" t="s">
        <v>155</v>
      </c>
      <c r="E220" s="1" t="s">
        <v>185</v>
      </c>
      <c r="F220" s="1" t="s">
        <v>7</v>
      </c>
      <c r="G220" s="1">
        <v>12</v>
      </c>
      <c r="H220" s="1">
        <v>156</v>
      </c>
      <c r="I220" s="1">
        <v>0</v>
      </c>
      <c r="J220" s="1">
        <v>1872</v>
      </c>
      <c r="K220" s="1" t="s">
        <v>235</v>
      </c>
      <c r="L220" s="1" t="str">
        <f t="shared" si="7"/>
        <v>Feb</v>
      </c>
      <c r="M220" s="2">
        <f>(H220-_xlfn.XLOOKUP(D220,Product_Master!A:A,Product_Master!D:D))*G220</f>
        <v>756</v>
      </c>
      <c r="N220" s="13">
        <f t="shared" si="6"/>
        <v>0.40384615384615385</v>
      </c>
      <c r="O220" s="16">
        <f>G220/Inventory!$G$2</f>
        <v>0.21052631578947367</v>
      </c>
      <c r="P220"/>
      <c r="Q220"/>
      <c r="AA220"/>
      <c r="AB220"/>
      <c r="AC220"/>
    </row>
    <row r="221" spans="1:29">
      <c r="A221" s="1" t="s">
        <v>493</v>
      </c>
      <c r="B221" s="1" t="s">
        <v>494</v>
      </c>
      <c r="C221" s="1" t="s">
        <v>224</v>
      </c>
      <c r="D221" s="1" t="s">
        <v>154</v>
      </c>
      <c r="E221" s="1" t="s">
        <v>184</v>
      </c>
      <c r="F221" s="1" t="s">
        <v>17</v>
      </c>
      <c r="G221" s="1">
        <v>3</v>
      </c>
      <c r="H221" s="1">
        <v>151</v>
      </c>
      <c r="I221" s="1">
        <v>0</v>
      </c>
      <c r="J221" s="1">
        <v>453</v>
      </c>
      <c r="K221" s="1" t="s">
        <v>55</v>
      </c>
      <c r="L221" s="1" t="str">
        <f t="shared" si="7"/>
        <v>Jan</v>
      </c>
      <c r="M221" s="2">
        <f>(H221-_xlfn.XLOOKUP(D221,Product_Master!A:A,Product_Master!D:D))*G221</f>
        <v>159</v>
      </c>
      <c r="N221" s="13">
        <f t="shared" si="6"/>
        <v>0.35099337748344372</v>
      </c>
      <c r="O221" s="16">
        <f>G221/Inventory!$G$2</f>
        <v>5.2631578947368418E-2</v>
      </c>
      <c r="P221"/>
      <c r="Q221"/>
      <c r="AA221"/>
      <c r="AB221"/>
      <c r="AC221"/>
    </row>
    <row r="222" spans="1:29">
      <c r="A222" s="1" t="s">
        <v>495</v>
      </c>
      <c r="B222" s="1" t="s">
        <v>120</v>
      </c>
      <c r="C222" s="1" t="s">
        <v>259</v>
      </c>
      <c r="D222" s="1" t="s">
        <v>18</v>
      </c>
      <c r="E222" s="1" t="s">
        <v>19</v>
      </c>
      <c r="F222" s="1" t="s">
        <v>146</v>
      </c>
      <c r="G222" s="1">
        <v>8</v>
      </c>
      <c r="H222" s="1">
        <v>140</v>
      </c>
      <c r="I222" s="1">
        <v>0</v>
      </c>
      <c r="J222" s="1">
        <v>1120</v>
      </c>
      <c r="K222" s="1" t="s">
        <v>46</v>
      </c>
      <c r="L222" s="1" t="str">
        <f t="shared" si="7"/>
        <v>Apr</v>
      </c>
      <c r="M222" s="2">
        <f>(H222-_xlfn.XLOOKUP(D222,Product_Master!A:A,Product_Master!D:D))*G222</f>
        <v>784</v>
      </c>
      <c r="N222" s="13">
        <f t="shared" si="6"/>
        <v>0.7</v>
      </c>
      <c r="O222" s="16">
        <f>G222/Inventory!$G$2</f>
        <v>0.14035087719298245</v>
      </c>
      <c r="P222"/>
      <c r="Q222"/>
      <c r="AA222"/>
      <c r="AB222"/>
      <c r="AC222"/>
    </row>
    <row r="223" spans="1:29">
      <c r="A223" s="1" t="s">
        <v>496</v>
      </c>
      <c r="B223" s="1" t="s">
        <v>210</v>
      </c>
      <c r="C223" s="1" t="s">
        <v>51</v>
      </c>
      <c r="D223" s="1" t="s">
        <v>22</v>
      </c>
      <c r="E223" s="1" t="s">
        <v>23</v>
      </c>
      <c r="F223" s="1" t="s">
        <v>10</v>
      </c>
      <c r="G223" s="1">
        <v>15</v>
      </c>
      <c r="H223" s="1">
        <v>76</v>
      </c>
      <c r="I223" s="1">
        <v>0</v>
      </c>
      <c r="J223" s="1">
        <v>1140</v>
      </c>
      <c r="K223" s="1" t="s">
        <v>49</v>
      </c>
      <c r="L223" s="1" t="str">
        <f t="shared" si="7"/>
        <v>Jun</v>
      </c>
      <c r="M223" s="2">
        <f>(H223-_xlfn.XLOOKUP(D223,Product_Master!A:A,Product_Master!D:D))*G223</f>
        <v>450</v>
      </c>
      <c r="N223" s="13">
        <f t="shared" si="6"/>
        <v>0.39473684210526316</v>
      </c>
      <c r="O223" s="16">
        <f>G223/Inventory!$G$2</f>
        <v>0.26315789473684209</v>
      </c>
      <c r="P223"/>
      <c r="Q223"/>
      <c r="AA223"/>
      <c r="AB223"/>
      <c r="AC223"/>
    </row>
    <row r="224" spans="1:29">
      <c r="A224" s="1" t="s">
        <v>497</v>
      </c>
      <c r="B224" s="1" t="s">
        <v>82</v>
      </c>
      <c r="C224" s="1" t="s">
        <v>57</v>
      </c>
      <c r="D224" s="1" t="s">
        <v>26</v>
      </c>
      <c r="E224" s="1" t="s">
        <v>27</v>
      </c>
      <c r="F224" s="1" t="s">
        <v>147</v>
      </c>
      <c r="G224" s="1">
        <v>6</v>
      </c>
      <c r="H224" s="1">
        <v>160</v>
      </c>
      <c r="I224" s="1">
        <v>5</v>
      </c>
      <c r="J224" s="1">
        <v>912</v>
      </c>
      <c r="K224" s="1" t="s">
        <v>49</v>
      </c>
      <c r="L224" s="1" t="str">
        <f t="shared" si="7"/>
        <v>Jan</v>
      </c>
      <c r="M224" s="2">
        <f>(H224-_xlfn.XLOOKUP(D224,Product_Master!A:A,Product_Master!D:D))*G224</f>
        <v>396</v>
      </c>
      <c r="N224" s="13">
        <f t="shared" si="6"/>
        <v>0.43421052631578949</v>
      </c>
      <c r="O224" s="16">
        <f>G224/Inventory!$G$2</f>
        <v>0.10526315789473684</v>
      </c>
      <c r="P224"/>
      <c r="Q224"/>
      <c r="AA224"/>
      <c r="AB224"/>
      <c r="AC224"/>
    </row>
    <row r="225" spans="1:29">
      <c r="A225" s="1" t="s">
        <v>498</v>
      </c>
      <c r="B225" s="1" t="s">
        <v>64</v>
      </c>
      <c r="C225" s="1" t="s">
        <v>222</v>
      </c>
      <c r="D225" s="1" t="s">
        <v>159</v>
      </c>
      <c r="E225" s="1" t="s">
        <v>189</v>
      </c>
      <c r="F225" s="1" t="s">
        <v>146</v>
      </c>
      <c r="G225" s="1">
        <v>3</v>
      </c>
      <c r="H225" s="1">
        <v>147</v>
      </c>
      <c r="I225" s="1">
        <v>5</v>
      </c>
      <c r="J225" s="1">
        <v>418.95</v>
      </c>
      <c r="K225" s="1" t="s">
        <v>55</v>
      </c>
      <c r="L225" s="1" t="str">
        <f t="shared" si="7"/>
        <v>Jan</v>
      </c>
      <c r="M225" s="2">
        <f>(H225-_xlfn.XLOOKUP(D225,Product_Master!A:A,Product_Master!D:D))*G225</f>
        <v>258</v>
      </c>
      <c r="N225" s="13">
        <f t="shared" si="6"/>
        <v>0.61582527747941285</v>
      </c>
      <c r="O225" s="16">
        <f>G225/Inventory!$G$2</f>
        <v>5.2631578947368418E-2</v>
      </c>
      <c r="P225"/>
      <c r="Q225"/>
      <c r="AA225"/>
      <c r="AB225"/>
      <c r="AC225"/>
    </row>
    <row r="226" spans="1:29">
      <c r="A226" s="1" t="s">
        <v>499</v>
      </c>
      <c r="B226" s="1" t="s">
        <v>88</v>
      </c>
      <c r="C226" s="1" t="s">
        <v>48</v>
      </c>
      <c r="D226" s="1" t="s">
        <v>153</v>
      </c>
      <c r="E226" s="1" t="s">
        <v>183</v>
      </c>
      <c r="F226" s="1" t="s">
        <v>17</v>
      </c>
      <c r="G226" s="1">
        <v>10</v>
      </c>
      <c r="H226" s="1">
        <v>89</v>
      </c>
      <c r="I226" s="1">
        <v>15</v>
      </c>
      <c r="J226" s="1">
        <v>756.5</v>
      </c>
      <c r="K226" s="1" t="s">
        <v>46</v>
      </c>
      <c r="L226" s="1" t="str">
        <f t="shared" si="7"/>
        <v>Apr</v>
      </c>
      <c r="M226" s="2">
        <f>(H226-_xlfn.XLOOKUP(D226,Product_Master!A:A,Product_Master!D:D))*G226</f>
        <v>650</v>
      </c>
      <c r="N226" s="13">
        <f t="shared" si="6"/>
        <v>0.85922009253139453</v>
      </c>
      <c r="O226" s="16">
        <f>G226/Inventory!$G$2</f>
        <v>0.17543859649122806</v>
      </c>
      <c r="P226"/>
      <c r="Q226"/>
      <c r="AA226"/>
      <c r="AB226"/>
      <c r="AC226"/>
    </row>
    <row r="227" spans="1:29">
      <c r="A227" s="1" t="s">
        <v>500</v>
      </c>
      <c r="B227" s="1" t="s">
        <v>60</v>
      </c>
      <c r="C227" s="1" t="s">
        <v>259</v>
      </c>
      <c r="D227" s="1" t="s">
        <v>157</v>
      </c>
      <c r="E227" s="1" t="s">
        <v>187</v>
      </c>
      <c r="F227" s="1" t="s">
        <v>7</v>
      </c>
      <c r="G227" s="1">
        <v>2</v>
      </c>
      <c r="H227" s="1">
        <v>61</v>
      </c>
      <c r="I227" s="1">
        <v>15</v>
      </c>
      <c r="J227" s="1">
        <v>103.7</v>
      </c>
      <c r="K227" s="1" t="s">
        <v>76</v>
      </c>
      <c r="L227" s="1" t="str">
        <f t="shared" si="7"/>
        <v>Feb</v>
      </c>
      <c r="M227" s="2">
        <f>(H227-_xlfn.XLOOKUP(D227,Product_Master!A:A,Product_Master!D:D))*G227</f>
        <v>102</v>
      </c>
      <c r="N227" s="13">
        <f t="shared" si="6"/>
        <v>0.98360655737704916</v>
      </c>
      <c r="O227" s="16">
        <f>G227/Inventory!$G$2</f>
        <v>3.5087719298245612E-2</v>
      </c>
      <c r="P227"/>
      <c r="Q227"/>
      <c r="AA227"/>
      <c r="AB227"/>
      <c r="AC227"/>
    </row>
    <row r="228" spans="1:29">
      <c r="A228" s="1" t="s">
        <v>501</v>
      </c>
      <c r="B228" s="1" t="s">
        <v>270</v>
      </c>
      <c r="C228" s="1" t="s">
        <v>45</v>
      </c>
      <c r="D228" s="1" t="s">
        <v>160</v>
      </c>
      <c r="E228" s="1" t="s">
        <v>190</v>
      </c>
      <c r="F228" s="1" t="s">
        <v>7</v>
      </c>
      <c r="G228" s="1">
        <v>1</v>
      </c>
      <c r="H228" s="1">
        <v>37</v>
      </c>
      <c r="I228" s="1">
        <v>15</v>
      </c>
      <c r="J228" s="1">
        <v>31.45</v>
      </c>
      <c r="K228" s="1" t="s">
        <v>55</v>
      </c>
      <c r="L228" s="1" t="str">
        <f t="shared" si="7"/>
        <v>May</v>
      </c>
      <c r="M228" s="2">
        <f>(H228-_xlfn.XLOOKUP(D228,Product_Master!A:A,Product_Master!D:D))*G228</f>
        <v>26</v>
      </c>
      <c r="N228" s="13">
        <f t="shared" si="6"/>
        <v>0.82670906200317962</v>
      </c>
      <c r="O228" s="16">
        <f>G228/Inventory!$G$2</f>
        <v>1.7543859649122806E-2</v>
      </c>
      <c r="P228"/>
      <c r="Q228"/>
      <c r="AA228"/>
      <c r="AB228"/>
      <c r="AC228"/>
    </row>
    <row r="229" spans="1:29">
      <c r="A229" s="1" t="s">
        <v>502</v>
      </c>
      <c r="B229" s="1" t="s">
        <v>47</v>
      </c>
      <c r="C229" s="1" t="s">
        <v>224</v>
      </c>
      <c r="D229" s="1" t="s">
        <v>24</v>
      </c>
      <c r="E229" s="1" t="s">
        <v>25</v>
      </c>
      <c r="F229" s="1" t="s">
        <v>146</v>
      </c>
      <c r="G229" s="1">
        <v>5</v>
      </c>
      <c r="H229" s="1">
        <v>96</v>
      </c>
      <c r="I229" s="1">
        <v>5</v>
      </c>
      <c r="J229" s="1">
        <v>456</v>
      </c>
      <c r="K229" s="1" t="s">
        <v>215</v>
      </c>
      <c r="L229" s="1" t="str">
        <f t="shared" si="7"/>
        <v>Jan</v>
      </c>
      <c r="M229" s="2">
        <f>(H229-_xlfn.XLOOKUP(D229,Product_Master!A:A,Product_Master!D:D))*G229</f>
        <v>120</v>
      </c>
      <c r="N229" s="13">
        <f t="shared" si="6"/>
        <v>0.26315789473684209</v>
      </c>
      <c r="O229" s="16">
        <f>G229/Inventory!$G$2</f>
        <v>8.771929824561403E-2</v>
      </c>
      <c r="P229"/>
      <c r="Q229"/>
      <c r="AA229"/>
      <c r="AB229"/>
      <c r="AC229"/>
    </row>
    <row r="230" spans="1:29">
      <c r="A230" s="1" t="s">
        <v>503</v>
      </c>
      <c r="B230" s="1" t="s">
        <v>97</v>
      </c>
      <c r="C230" s="1" t="s">
        <v>211</v>
      </c>
      <c r="D230" s="1" t="s">
        <v>177</v>
      </c>
      <c r="E230" s="1" t="s">
        <v>207</v>
      </c>
      <c r="F230" s="1" t="s">
        <v>146</v>
      </c>
      <c r="G230" s="1">
        <v>8</v>
      </c>
      <c r="H230" s="1">
        <v>145</v>
      </c>
      <c r="I230" s="1">
        <v>5</v>
      </c>
      <c r="J230" s="1">
        <v>1102</v>
      </c>
      <c r="K230" s="1" t="s">
        <v>215</v>
      </c>
      <c r="L230" s="1" t="str">
        <f t="shared" si="7"/>
        <v>Mar</v>
      </c>
      <c r="M230" s="2">
        <f>(H230-_xlfn.XLOOKUP(D230,Product_Master!A:A,Product_Master!D:D))*G230</f>
        <v>656</v>
      </c>
      <c r="N230" s="13">
        <f t="shared" si="6"/>
        <v>0.59528130671506352</v>
      </c>
      <c r="O230" s="16">
        <f>G230/Inventory!$G$2</f>
        <v>0.14035087719298245</v>
      </c>
      <c r="P230"/>
      <c r="AA230"/>
      <c r="AB230"/>
      <c r="AC230"/>
    </row>
    <row r="231" spans="1:29">
      <c r="A231" s="1" t="s">
        <v>504</v>
      </c>
      <c r="B231" s="1" t="s">
        <v>97</v>
      </c>
      <c r="C231" s="1" t="s">
        <v>51</v>
      </c>
      <c r="D231" s="1" t="s">
        <v>152</v>
      </c>
      <c r="E231" s="1" t="s">
        <v>182</v>
      </c>
      <c r="F231" s="1" t="s">
        <v>146</v>
      </c>
      <c r="G231" s="1">
        <v>1</v>
      </c>
      <c r="H231" s="1">
        <v>158</v>
      </c>
      <c r="I231" s="1">
        <v>15</v>
      </c>
      <c r="J231" s="1">
        <v>134.30000000000001</v>
      </c>
      <c r="K231" s="1" t="s">
        <v>235</v>
      </c>
      <c r="L231" s="1" t="str">
        <f t="shared" si="7"/>
        <v>Mar</v>
      </c>
      <c r="M231" s="2">
        <f>(H231-_xlfn.XLOOKUP(D231,Product_Master!A:A,Product_Master!D:D))*G231</f>
        <v>95</v>
      </c>
      <c r="N231" s="13">
        <f t="shared" si="6"/>
        <v>0.70737155621742365</v>
      </c>
      <c r="O231" s="16">
        <f>G231/Inventory!$G$2</f>
        <v>1.7543859649122806E-2</v>
      </c>
      <c r="P231"/>
      <c r="AA231"/>
      <c r="AB231"/>
      <c r="AC231"/>
    </row>
    <row r="232" spans="1:29">
      <c r="A232" s="1" t="s">
        <v>505</v>
      </c>
      <c r="B232" s="1" t="s">
        <v>372</v>
      </c>
      <c r="C232" s="1" t="s">
        <v>65</v>
      </c>
      <c r="D232" s="1" t="s">
        <v>148</v>
      </c>
      <c r="E232" s="1" t="s">
        <v>178</v>
      </c>
      <c r="F232" s="1" t="s">
        <v>147</v>
      </c>
      <c r="G232" s="1">
        <v>11</v>
      </c>
      <c r="H232" s="1">
        <v>90</v>
      </c>
      <c r="I232" s="1">
        <v>15</v>
      </c>
      <c r="J232" s="1">
        <v>841.5</v>
      </c>
      <c r="K232" s="1" t="s">
        <v>215</v>
      </c>
      <c r="L232" s="1" t="str">
        <f t="shared" si="7"/>
        <v>Jun</v>
      </c>
      <c r="M232" s="2">
        <f>(H232-_xlfn.XLOOKUP(D232,Product_Master!A:A,Product_Master!D:D))*G232</f>
        <v>341</v>
      </c>
      <c r="N232" s="13">
        <f t="shared" si="6"/>
        <v>0.40522875816993464</v>
      </c>
      <c r="O232" s="16">
        <f>G232/Inventory!$G$2</f>
        <v>0.19298245614035087</v>
      </c>
      <c r="P232"/>
      <c r="AA232"/>
      <c r="AB232"/>
      <c r="AC232"/>
    </row>
    <row r="233" spans="1:29">
      <c r="A233" s="1" t="s">
        <v>506</v>
      </c>
      <c r="B233" s="1" t="s">
        <v>264</v>
      </c>
      <c r="C233" s="1" t="s">
        <v>54</v>
      </c>
      <c r="D233" s="1" t="s">
        <v>172</v>
      </c>
      <c r="E233" s="1" t="s">
        <v>202</v>
      </c>
      <c r="F233" s="1" t="s">
        <v>17</v>
      </c>
      <c r="G233" s="1">
        <v>14</v>
      </c>
      <c r="H233" s="1">
        <v>199</v>
      </c>
      <c r="I233" s="1">
        <v>0</v>
      </c>
      <c r="J233" s="1">
        <v>2786</v>
      </c>
      <c r="K233" s="1" t="s">
        <v>215</v>
      </c>
      <c r="L233" s="1" t="str">
        <f t="shared" si="7"/>
        <v>Feb</v>
      </c>
      <c r="M233" s="2">
        <f>(H233-_xlfn.XLOOKUP(D233,Product_Master!A:A,Product_Master!D:D))*G233</f>
        <v>1302</v>
      </c>
      <c r="N233" s="13">
        <f t="shared" si="6"/>
        <v>0.46733668341708545</v>
      </c>
      <c r="O233" s="16">
        <f>G233/Inventory!$G$2</f>
        <v>0.24561403508771928</v>
      </c>
      <c r="P233"/>
      <c r="AA233"/>
      <c r="AB233"/>
      <c r="AC233"/>
    </row>
    <row r="234" spans="1:29">
      <c r="A234" s="1" t="s">
        <v>507</v>
      </c>
      <c r="B234" s="1" t="s">
        <v>90</v>
      </c>
      <c r="C234" s="1" t="s">
        <v>211</v>
      </c>
      <c r="D234" s="1" t="s">
        <v>161</v>
      </c>
      <c r="E234" s="1" t="s">
        <v>191</v>
      </c>
      <c r="F234" s="1" t="s">
        <v>147</v>
      </c>
      <c r="G234" s="1">
        <v>5</v>
      </c>
      <c r="H234" s="1">
        <v>144</v>
      </c>
      <c r="I234" s="1">
        <v>5</v>
      </c>
      <c r="J234" s="1">
        <v>684</v>
      </c>
      <c r="K234" s="1" t="s">
        <v>215</v>
      </c>
      <c r="L234" s="1" t="str">
        <f t="shared" si="7"/>
        <v>Mar</v>
      </c>
      <c r="M234" s="2">
        <f>(H234-_xlfn.XLOOKUP(D234,Product_Master!A:A,Product_Master!D:D))*G234</f>
        <v>280</v>
      </c>
      <c r="N234" s="13">
        <f t="shared" si="6"/>
        <v>0.40935672514619881</v>
      </c>
      <c r="O234" s="16">
        <f>G234/Inventory!$G$2</f>
        <v>8.771929824561403E-2</v>
      </c>
      <c r="P234"/>
      <c r="AA234"/>
      <c r="AB234"/>
      <c r="AC234"/>
    </row>
    <row r="235" spans="1:29">
      <c r="A235" s="1" t="s">
        <v>508</v>
      </c>
      <c r="B235" s="1" t="s">
        <v>143</v>
      </c>
      <c r="C235" s="1" t="s">
        <v>211</v>
      </c>
      <c r="D235" s="1" t="s">
        <v>8</v>
      </c>
      <c r="E235" s="1" t="s">
        <v>9</v>
      </c>
      <c r="F235" s="1" t="s">
        <v>10</v>
      </c>
      <c r="G235" s="1">
        <v>6</v>
      </c>
      <c r="H235" s="1">
        <v>146</v>
      </c>
      <c r="I235" s="1">
        <v>15</v>
      </c>
      <c r="J235" s="1">
        <v>744.6</v>
      </c>
      <c r="K235" s="1" t="s">
        <v>49</v>
      </c>
      <c r="L235" s="1" t="str">
        <f t="shared" si="7"/>
        <v>Feb</v>
      </c>
      <c r="M235" s="2">
        <f>(H235-_xlfn.XLOOKUP(D235,Product_Master!A:A,Product_Master!D:D))*G235</f>
        <v>300</v>
      </c>
      <c r="N235" s="13">
        <f t="shared" si="6"/>
        <v>0.40290088638195004</v>
      </c>
      <c r="O235" s="16">
        <f>G235/Inventory!$G$2</f>
        <v>0.10526315789473684</v>
      </c>
      <c r="P235"/>
      <c r="AA235"/>
      <c r="AB235"/>
      <c r="AC235"/>
    </row>
    <row r="236" spans="1:29">
      <c r="A236" s="1" t="s">
        <v>509</v>
      </c>
      <c r="B236" s="1" t="s">
        <v>510</v>
      </c>
      <c r="C236" s="1" t="s">
        <v>65</v>
      </c>
      <c r="D236" s="1" t="s">
        <v>157</v>
      </c>
      <c r="E236" s="1" t="s">
        <v>187</v>
      </c>
      <c r="F236" s="1" t="s">
        <v>7</v>
      </c>
      <c r="G236" s="1">
        <v>14</v>
      </c>
      <c r="H236" s="1">
        <v>61</v>
      </c>
      <c r="I236" s="1">
        <v>5</v>
      </c>
      <c r="J236" s="1">
        <v>811.3</v>
      </c>
      <c r="K236" s="1" t="s">
        <v>55</v>
      </c>
      <c r="L236" s="1" t="str">
        <f t="shared" si="7"/>
        <v>May</v>
      </c>
      <c r="M236" s="2">
        <f>(H236-_xlfn.XLOOKUP(D236,Product_Master!A:A,Product_Master!D:D))*G236</f>
        <v>714</v>
      </c>
      <c r="N236" s="13">
        <f t="shared" si="6"/>
        <v>0.88006902502157036</v>
      </c>
      <c r="O236" s="16">
        <f>G236/Inventory!$G$2</f>
        <v>0.24561403508771928</v>
      </c>
      <c r="P236"/>
      <c r="AA236"/>
      <c r="AB236"/>
      <c r="AC236"/>
    </row>
    <row r="237" spans="1:29">
      <c r="A237" s="1" t="s">
        <v>511</v>
      </c>
      <c r="B237" s="1" t="s">
        <v>241</v>
      </c>
      <c r="C237" s="1" t="s">
        <v>48</v>
      </c>
      <c r="D237" s="1" t="s">
        <v>159</v>
      </c>
      <c r="E237" s="1" t="s">
        <v>189</v>
      </c>
      <c r="F237" s="1" t="s">
        <v>146</v>
      </c>
      <c r="G237" s="1">
        <v>1</v>
      </c>
      <c r="H237" s="1">
        <v>147</v>
      </c>
      <c r="I237" s="1">
        <v>0</v>
      </c>
      <c r="J237" s="1">
        <v>147</v>
      </c>
      <c r="K237" s="1" t="s">
        <v>46</v>
      </c>
      <c r="L237" s="1" t="str">
        <f t="shared" si="7"/>
        <v>May</v>
      </c>
      <c r="M237" s="2">
        <f>(H237-_xlfn.XLOOKUP(D237,Product_Master!A:A,Product_Master!D:D))*G237</f>
        <v>86</v>
      </c>
      <c r="N237" s="13">
        <f t="shared" si="6"/>
        <v>0.58503401360544216</v>
      </c>
      <c r="O237" s="16">
        <f>G237/Inventory!$G$2</f>
        <v>1.7543859649122806E-2</v>
      </c>
      <c r="P237"/>
      <c r="AA237"/>
      <c r="AB237"/>
      <c r="AC237"/>
    </row>
    <row r="238" spans="1:29">
      <c r="A238" s="1" t="s">
        <v>512</v>
      </c>
      <c r="B238" s="1" t="s">
        <v>440</v>
      </c>
      <c r="C238" s="1" t="s">
        <v>224</v>
      </c>
      <c r="D238" s="1" t="s">
        <v>161</v>
      </c>
      <c r="E238" s="1" t="s">
        <v>191</v>
      </c>
      <c r="F238" s="1" t="s">
        <v>147</v>
      </c>
      <c r="G238" s="1">
        <v>1</v>
      </c>
      <c r="H238" s="1">
        <v>144</v>
      </c>
      <c r="I238" s="1">
        <v>5</v>
      </c>
      <c r="J238" s="1">
        <v>136.80000000000001</v>
      </c>
      <c r="K238" s="1" t="s">
        <v>76</v>
      </c>
      <c r="L238" s="1" t="str">
        <f t="shared" si="7"/>
        <v>Jun</v>
      </c>
      <c r="M238" s="2">
        <f>(H238-_xlfn.XLOOKUP(D238,Product_Master!A:A,Product_Master!D:D))*G238</f>
        <v>56</v>
      </c>
      <c r="N238" s="13">
        <f t="shared" si="6"/>
        <v>0.40935672514619881</v>
      </c>
      <c r="O238" s="16">
        <f>G238/Inventory!$G$2</f>
        <v>1.7543859649122806E-2</v>
      </c>
      <c r="P238"/>
      <c r="AA238"/>
      <c r="AB238"/>
      <c r="AC238"/>
    </row>
    <row r="239" spans="1:29">
      <c r="A239" s="1" t="s">
        <v>513</v>
      </c>
      <c r="B239" s="1" t="s">
        <v>514</v>
      </c>
      <c r="C239" s="1" t="s">
        <v>51</v>
      </c>
      <c r="D239" s="1" t="s">
        <v>26</v>
      </c>
      <c r="E239" s="1" t="s">
        <v>27</v>
      </c>
      <c r="F239" s="1" t="s">
        <v>147</v>
      </c>
      <c r="G239" s="1">
        <v>4</v>
      </c>
      <c r="H239" s="1">
        <v>160</v>
      </c>
      <c r="I239" s="1">
        <v>10</v>
      </c>
      <c r="J239" s="1">
        <v>576</v>
      </c>
      <c r="K239" s="1" t="s">
        <v>215</v>
      </c>
      <c r="L239" s="1" t="str">
        <f t="shared" si="7"/>
        <v>Apr</v>
      </c>
      <c r="M239" s="2">
        <f>(H239-_xlfn.XLOOKUP(D239,Product_Master!A:A,Product_Master!D:D))*G239</f>
        <v>264</v>
      </c>
      <c r="N239" s="13">
        <f t="shared" si="6"/>
        <v>0.45833333333333331</v>
      </c>
      <c r="O239" s="16">
        <f>G239/Inventory!$G$2</f>
        <v>7.0175438596491224E-2</v>
      </c>
      <c r="P239"/>
      <c r="AA239"/>
      <c r="AB239"/>
      <c r="AC239"/>
    </row>
    <row r="240" spans="1:29">
      <c r="A240" s="1" t="s">
        <v>515</v>
      </c>
      <c r="B240" s="1" t="s">
        <v>516</v>
      </c>
      <c r="C240" s="1" t="s">
        <v>259</v>
      </c>
      <c r="D240" s="1" t="s">
        <v>150</v>
      </c>
      <c r="E240" s="1" t="s">
        <v>180</v>
      </c>
      <c r="F240" s="1" t="s">
        <v>17</v>
      </c>
      <c r="G240" s="1">
        <v>3</v>
      </c>
      <c r="H240" s="1">
        <v>143</v>
      </c>
      <c r="I240" s="1">
        <v>0</v>
      </c>
      <c r="J240" s="1">
        <v>429</v>
      </c>
      <c r="K240" s="1" t="s">
        <v>215</v>
      </c>
      <c r="L240" s="1" t="str">
        <f t="shared" si="7"/>
        <v>May</v>
      </c>
      <c r="M240" s="2">
        <f>(H240-_xlfn.XLOOKUP(D240,Product_Master!A:A,Product_Master!D:D))*G240</f>
        <v>126</v>
      </c>
      <c r="N240" s="13">
        <f t="shared" si="6"/>
        <v>0.2937062937062937</v>
      </c>
      <c r="O240" s="16">
        <f>G240/Inventory!$G$2</f>
        <v>5.2631578947368418E-2</v>
      </c>
      <c r="P240"/>
      <c r="AA240"/>
      <c r="AB240"/>
      <c r="AC240"/>
    </row>
    <row r="241" spans="1:29">
      <c r="A241" s="1" t="s">
        <v>517</v>
      </c>
      <c r="B241" s="1" t="s">
        <v>262</v>
      </c>
      <c r="C241" s="1" t="s">
        <v>222</v>
      </c>
      <c r="D241" s="1" t="s">
        <v>154</v>
      </c>
      <c r="E241" s="1" t="s">
        <v>184</v>
      </c>
      <c r="F241" s="1" t="s">
        <v>17</v>
      </c>
      <c r="G241" s="1">
        <v>13</v>
      </c>
      <c r="H241" s="1">
        <v>151</v>
      </c>
      <c r="I241" s="1">
        <v>5</v>
      </c>
      <c r="J241" s="1">
        <v>1864.85</v>
      </c>
      <c r="K241" s="1" t="s">
        <v>235</v>
      </c>
      <c r="L241" s="1" t="str">
        <f t="shared" si="7"/>
        <v>Jan</v>
      </c>
      <c r="M241" s="2">
        <f>(H241-_xlfn.XLOOKUP(D241,Product_Master!A:A,Product_Master!D:D))*G241</f>
        <v>689</v>
      </c>
      <c r="N241" s="13">
        <f t="shared" si="6"/>
        <v>0.36946671314046708</v>
      </c>
      <c r="O241" s="16">
        <f>G241/Inventory!$G$2</f>
        <v>0.22807017543859648</v>
      </c>
      <c r="P241"/>
      <c r="AA241"/>
      <c r="AB241"/>
      <c r="AC241"/>
    </row>
    <row r="242" spans="1:29">
      <c r="A242" s="1" t="s">
        <v>518</v>
      </c>
      <c r="B242" s="1" t="s">
        <v>519</v>
      </c>
      <c r="C242" s="1" t="s">
        <v>57</v>
      </c>
      <c r="D242" s="1" t="s">
        <v>159</v>
      </c>
      <c r="E242" s="1" t="s">
        <v>189</v>
      </c>
      <c r="F242" s="1" t="s">
        <v>146</v>
      </c>
      <c r="G242" s="1">
        <v>9</v>
      </c>
      <c r="H242" s="1">
        <v>147</v>
      </c>
      <c r="I242" s="1">
        <v>10</v>
      </c>
      <c r="J242" s="1">
        <v>1190.7</v>
      </c>
      <c r="K242" s="1" t="s">
        <v>46</v>
      </c>
      <c r="L242" s="1" t="str">
        <f t="shared" si="7"/>
        <v>Jun</v>
      </c>
      <c r="M242" s="2">
        <f>(H242-_xlfn.XLOOKUP(D242,Product_Master!A:A,Product_Master!D:D))*G242</f>
        <v>774</v>
      </c>
      <c r="N242" s="13">
        <f t="shared" si="6"/>
        <v>0.65003779289493568</v>
      </c>
      <c r="O242" s="16">
        <f>G242/Inventory!$G$2</f>
        <v>0.15789473684210525</v>
      </c>
      <c r="P242"/>
      <c r="AA242"/>
      <c r="AB242"/>
      <c r="AC242"/>
    </row>
    <row r="243" spans="1:29">
      <c r="A243" s="1" t="s">
        <v>520</v>
      </c>
      <c r="B243" s="1" t="s">
        <v>74</v>
      </c>
      <c r="C243" s="1" t="s">
        <v>211</v>
      </c>
      <c r="D243" s="1" t="s">
        <v>5</v>
      </c>
      <c r="E243" s="1" t="s">
        <v>6</v>
      </c>
      <c r="F243" s="1" t="s">
        <v>7</v>
      </c>
      <c r="G243" s="1">
        <v>9</v>
      </c>
      <c r="H243" s="1">
        <v>74</v>
      </c>
      <c r="I243" s="1">
        <v>10</v>
      </c>
      <c r="J243" s="1">
        <v>599.4</v>
      </c>
      <c r="K243" s="1" t="s">
        <v>55</v>
      </c>
      <c r="L243" s="1" t="str">
        <f t="shared" si="7"/>
        <v>Feb</v>
      </c>
      <c r="M243" s="2">
        <f>(H243-_xlfn.XLOOKUP(D243,Product_Master!A:A,Product_Master!D:D))*G243</f>
        <v>252</v>
      </c>
      <c r="N243" s="13">
        <f t="shared" si="6"/>
        <v>0.42042042042042044</v>
      </c>
      <c r="O243" s="16">
        <f>G243/Inventory!$G$2</f>
        <v>0.15789473684210525</v>
      </c>
      <c r="P243"/>
      <c r="AA243"/>
      <c r="AB243"/>
      <c r="AC243"/>
    </row>
    <row r="244" spans="1:29">
      <c r="A244" s="1" t="s">
        <v>521</v>
      </c>
      <c r="B244" s="1" t="s">
        <v>239</v>
      </c>
      <c r="C244" s="1" t="s">
        <v>259</v>
      </c>
      <c r="D244" s="1" t="s">
        <v>149</v>
      </c>
      <c r="E244" s="1" t="s">
        <v>179</v>
      </c>
      <c r="F244" s="1" t="s">
        <v>17</v>
      </c>
      <c r="G244" s="1">
        <v>14</v>
      </c>
      <c r="H244" s="1">
        <v>98</v>
      </c>
      <c r="I244" s="1">
        <v>10</v>
      </c>
      <c r="J244" s="1">
        <v>1234.8</v>
      </c>
      <c r="K244" s="1" t="s">
        <v>55</v>
      </c>
      <c r="L244" s="1" t="str">
        <f t="shared" si="7"/>
        <v>May</v>
      </c>
      <c r="M244" s="2">
        <f>(H244-_xlfn.XLOOKUP(D244,Product_Master!A:A,Product_Master!D:D))*G244</f>
        <v>308</v>
      </c>
      <c r="N244" s="13">
        <f t="shared" si="6"/>
        <v>0.24943310657596374</v>
      </c>
      <c r="O244" s="16">
        <f>G244/Inventory!$G$2</f>
        <v>0.24561403508771928</v>
      </c>
      <c r="P244"/>
      <c r="AA244"/>
      <c r="AB244"/>
      <c r="AC244"/>
    </row>
    <row r="245" spans="1:29">
      <c r="A245" s="1" t="s">
        <v>522</v>
      </c>
      <c r="B245" s="1" t="s">
        <v>523</v>
      </c>
      <c r="C245" s="1" t="s">
        <v>51</v>
      </c>
      <c r="D245" s="1" t="s">
        <v>11</v>
      </c>
      <c r="E245" s="1" t="s">
        <v>12</v>
      </c>
      <c r="F245" s="1" t="s">
        <v>147</v>
      </c>
      <c r="G245" s="1">
        <v>12</v>
      </c>
      <c r="H245" s="1">
        <v>86</v>
      </c>
      <c r="I245" s="1">
        <v>10</v>
      </c>
      <c r="J245" s="1">
        <v>928.8</v>
      </c>
      <c r="K245" s="1" t="s">
        <v>49</v>
      </c>
      <c r="L245" s="1" t="str">
        <f t="shared" si="7"/>
        <v>Jun</v>
      </c>
      <c r="M245" s="2">
        <f>(H245-_xlfn.XLOOKUP(D245,Product_Master!A:A,Product_Master!D:D))*G245</f>
        <v>240</v>
      </c>
      <c r="N245" s="13">
        <f t="shared" si="6"/>
        <v>0.2583979328165375</v>
      </c>
      <c r="O245" s="16">
        <f>G245/Inventory!$G$2</f>
        <v>0.21052631578947367</v>
      </c>
      <c r="P245"/>
      <c r="AA245"/>
      <c r="AB245"/>
      <c r="AC245"/>
    </row>
    <row r="246" spans="1:29">
      <c r="A246" s="1" t="s">
        <v>524</v>
      </c>
      <c r="B246" s="1" t="s">
        <v>525</v>
      </c>
      <c r="C246" s="1" t="s">
        <v>222</v>
      </c>
      <c r="D246" s="1" t="s">
        <v>26</v>
      </c>
      <c r="E246" s="1" t="s">
        <v>27</v>
      </c>
      <c r="F246" s="1" t="s">
        <v>147</v>
      </c>
      <c r="G246" s="1">
        <v>6</v>
      </c>
      <c r="H246" s="1">
        <v>160</v>
      </c>
      <c r="I246" s="1">
        <v>5</v>
      </c>
      <c r="J246" s="1">
        <v>912</v>
      </c>
      <c r="K246" s="1" t="s">
        <v>215</v>
      </c>
      <c r="L246" s="1" t="str">
        <f t="shared" si="7"/>
        <v>May</v>
      </c>
      <c r="M246" s="2">
        <f>(H246-_xlfn.XLOOKUP(D246,Product_Master!A:A,Product_Master!D:D))*G246</f>
        <v>396</v>
      </c>
      <c r="N246" s="13">
        <f t="shared" si="6"/>
        <v>0.43421052631578949</v>
      </c>
      <c r="O246" s="16">
        <f>G246/Inventory!$G$2</f>
        <v>0.10526315789473684</v>
      </c>
      <c r="P246"/>
      <c r="AA246"/>
      <c r="AB246"/>
      <c r="AC246"/>
    </row>
    <row r="247" spans="1:29">
      <c r="A247" s="1" t="s">
        <v>526</v>
      </c>
      <c r="B247" s="1" t="s">
        <v>133</v>
      </c>
      <c r="C247" s="1" t="s">
        <v>54</v>
      </c>
      <c r="D247" s="1" t="s">
        <v>20</v>
      </c>
      <c r="E247" s="1" t="s">
        <v>21</v>
      </c>
      <c r="F247" s="1" t="s">
        <v>10</v>
      </c>
      <c r="G247" s="1">
        <v>4</v>
      </c>
      <c r="H247" s="1">
        <v>128</v>
      </c>
      <c r="I247" s="1">
        <v>0</v>
      </c>
      <c r="J247" s="1">
        <v>512</v>
      </c>
      <c r="K247" s="1" t="s">
        <v>235</v>
      </c>
      <c r="L247" s="1" t="str">
        <f t="shared" si="7"/>
        <v>Jan</v>
      </c>
      <c r="M247" s="2">
        <f>(H247-_xlfn.XLOOKUP(D247,Product_Master!A:A,Product_Master!D:D))*G247</f>
        <v>212</v>
      </c>
      <c r="N247" s="13">
        <f t="shared" si="6"/>
        <v>0.4140625</v>
      </c>
      <c r="O247" s="16">
        <f>G247/Inventory!$G$2</f>
        <v>7.0175438596491224E-2</v>
      </c>
      <c r="P247"/>
      <c r="AA247"/>
      <c r="AB247"/>
      <c r="AC247"/>
    </row>
    <row r="248" spans="1:29">
      <c r="A248" s="1" t="s">
        <v>527</v>
      </c>
      <c r="B248" s="1" t="s">
        <v>68</v>
      </c>
      <c r="C248" s="1" t="s">
        <v>69</v>
      </c>
      <c r="D248" s="1" t="s">
        <v>26</v>
      </c>
      <c r="E248" s="1" t="s">
        <v>27</v>
      </c>
      <c r="F248" s="1" t="s">
        <v>147</v>
      </c>
      <c r="G248" s="1">
        <v>3</v>
      </c>
      <c r="H248" s="1">
        <v>160</v>
      </c>
      <c r="I248" s="1">
        <v>5</v>
      </c>
      <c r="J248" s="1">
        <v>456</v>
      </c>
      <c r="K248" s="1" t="s">
        <v>49</v>
      </c>
      <c r="L248" s="1" t="str">
        <f t="shared" si="7"/>
        <v>Mar</v>
      </c>
      <c r="M248" s="2">
        <f>(H248-_xlfn.XLOOKUP(D248,Product_Master!A:A,Product_Master!D:D))*G248</f>
        <v>198</v>
      </c>
      <c r="N248" s="13">
        <f t="shared" si="6"/>
        <v>0.43421052631578949</v>
      </c>
      <c r="O248" s="16">
        <f>G248/Inventory!$G$2</f>
        <v>5.2631578947368418E-2</v>
      </c>
      <c r="P248"/>
      <c r="AA248"/>
      <c r="AB248"/>
      <c r="AC248"/>
    </row>
    <row r="249" spans="1:29">
      <c r="A249" s="1" t="s">
        <v>528</v>
      </c>
      <c r="B249" s="1" t="s">
        <v>106</v>
      </c>
      <c r="C249" s="1" t="s">
        <v>222</v>
      </c>
      <c r="D249" s="1" t="s">
        <v>165</v>
      </c>
      <c r="E249" s="1" t="s">
        <v>195</v>
      </c>
      <c r="F249" s="1" t="s">
        <v>147</v>
      </c>
      <c r="G249" s="1">
        <v>13</v>
      </c>
      <c r="H249" s="1">
        <v>109</v>
      </c>
      <c r="I249" s="1">
        <v>10</v>
      </c>
      <c r="J249" s="1">
        <v>1275.3</v>
      </c>
      <c r="K249" s="1" t="s">
        <v>215</v>
      </c>
      <c r="L249" s="1" t="str">
        <f t="shared" si="7"/>
        <v>Jan</v>
      </c>
      <c r="M249" s="2">
        <f>(H249-_xlfn.XLOOKUP(D249,Product_Master!A:A,Product_Master!D:D))*G249</f>
        <v>715</v>
      </c>
      <c r="N249" s="13">
        <f t="shared" si="6"/>
        <v>0.56065239551478085</v>
      </c>
      <c r="O249" s="16">
        <f>G249/Inventory!$G$2</f>
        <v>0.22807017543859648</v>
      </c>
      <c r="P249"/>
      <c r="AA249"/>
      <c r="AB249"/>
      <c r="AC249"/>
    </row>
    <row r="250" spans="1:29">
      <c r="A250" s="1" t="s">
        <v>529</v>
      </c>
      <c r="B250" s="1" t="s">
        <v>139</v>
      </c>
      <c r="C250" s="1" t="s">
        <v>222</v>
      </c>
      <c r="D250" s="1" t="s">
        <v>11</v>
      </c>
      <c r="E250" s="1" t="s">
        <v>12</v>
      </c>
      <c r="F250" s="1" t="s">
        <v>147</v>
      </c>
      <c r="G250" s="1">
        <v>4</v>
      </c>
      <c r="H250" s="1">
        <v>86</v>
      </c>
      <c r="I250" s="1">
        <v>5</v>
      </c>
      <c r="J250" s="1">
        <v>326.8</v>
      </c>
      <c r="K250" s="1" t="s">
        <v>76</v>
      </c>
      <c r="L250" s="1" t="str">
        <f t="shared" si="7"/>
        <v>Mar</v>
      </c>
      <c r="M250" s="2">
        <f>(H250-_xlfn.XLOOKUP(D250,Product_Master!A:A,Product_Master!D:D))*G250</f>
        <v>80</v>
      </c>
      <c r="N250" s="13">
        <f t="shared" si="6"/>
        <v>0.24479804161566707</v>
      </c>
      <c r="O250" s="16">
        <f>G250/Inventory!$G$2</f>
        <v>7.0175438596491224E-2</v>
      </c>
      <c r="P250"/>
      <c r="AA250"/>
      <c r="AB250"/>
      <c r="AC250"/>
    </row>
    <row r="251" spans="1:29">
      <c r="A251" s="1" t="s">
        <v>530</v>
      </c>
      <c r="B251" s="1" t="s">
        <v>392</v>
      </c>
      <c r="C251" s="1" t="s">
        <v>54</v>
      </c>
      <c r="D251" s="1" t="s">
        <v>148</v>
      </c>
      <c r="E251" s="1" t="s">
        <v>178</v>
      </c>
      <c r="F251" s="1" t="s">
        <v>147</v>
      </c>
      <c r="G251" s="1">
        <v>13</v>
      </c>
      <c r="H251" s="1">
        <v>90</v>
      </c>
      <c r="I251" s="1">
        <v>15</v>
      </c>
      <c r="J251" s="1">
        <v>994.5</v>
      </c>
      <c r="K251" s="1" t="s">
        <v>55</v>
      </c>
      <c r="L251" s="1" t="str">
        <f t="shared" si="7"/>
        <v>Jan</v>
      </c>
      <c r="M251" s="2">
        <f>(H251-_xlfn.XLOOKUP(D251,Product_Master!A:A,Product_Master!D:D))*G251</f>
        <v>403</v>
      </c>
      <c r="N251" s="13">
        <f t="shared" si="6"/>
        <v>0.40522875816993464</v>
      </c>
      <c r="O251" s="16">
        <f>G251/Inventory!$G$2</f>
        <v>0.22807017543859648</v>
      </c>
      <c r="P251"/>
      <c r="AA251"/>
      <c r="AB251"/>
      <c r="AC251"/>
    </row>
    <row r="252" spans="1:29">
      <c r="A252" s="1" t="s">
        <v>531</v>
      </c>
      <c r="B252" s="1" t="s">
        <v>447</v>
      </c>
      <c r="C252" s="1" t="s">
        <v>65</v>
      </c>
      <c r="D252" s="1" t="s">
        <v>26</v>
      </c>
      <c r="E252" s="1" t="s">
        <v>27</v>
      </c>
      <c r="F252" s="1" t="s">
        <v>147</v>
      </c>
      <c r="G252" s="1">
        <v>9</v>
      </c>
      <c r="H252" s="1">
        <v>160</v>
      </c>
      <c r="I252" s="1">
        <v>0</v>
      </c>
      <c r="J252" s="1">
        <v>1440</v>
      </c>
      <c r="K252" s="1" t="s">
        <v>49</v>
      </c>
      <c r="L252" s="1" t="str">
        <f t="shared" si="7"/>
        <v>May</v>
      </c>
      <c r="M252" s="2">
        <f>(H252-_xlfn.XLOOKUP(D252,Product_Master!A:A,Product_Master!D:D))*G252</f>
        <v>594</v>
      </c>
      <c r="N252" s="13">
        <f t="shared" si="6"/>
        <v>0.41249999999999998</v>
      </c>
      <c r="O252" s="16">
        <f>G252/Inventory!$G$2</f>
        <v>0.15789473684210525</v>
      </c>
      <c r="P252"/>
      <c r="AA252"/>
      <c r="AB252"/>
      <c r="AC252"/>
    </row>
    <row r="253" spans="1:29">
      <c r="A253" s="1" t="s">
        <v>532</v>
      </c>
      <c r="B253" s="1" t="s">
        <v>87</v>
      </c>
      <c r="C253" s="1" t="s">
        <v>222</v>
      </c>
      <c r="D253" s="1" t="s">
        <v>169</v>
      </c>
      <c r="E253" s="1" t="s">
        <v>199</v>
      </c>
      <c r="F253" s="1" t="s">
        <v>10</v>
      </c>
      <c r="G253" s="1">
        <v>4</v>
      </c>
      <c r="H253" s="1">
        <v>130</v>
      </c>
      <c r="I253" s="1">
        <v>10</v>
      </c>
      <c r="J253" s="1">
        <v>468</v>
      </c>
      <c r="K253" s="1" t="s">
        <v>235</v>
      </c>
      <c r="L253" s="1" t="str">
        <f t="shared" si="7"/>
        <v>Mar</v>
      </c>
      <c r="M253" s="2">
        <f>(H253-_xlfn.XLOOKUP(D253,Product_Master!A:A,Product_Master!D:D))*G253</f>
        <v>180</v>
      </c>
      <c r="N253" s="13">
        <f t="shared" si="6"/>
        <v>0.38461538461538464</v>
      </c>
      <c r="O253" s="16">
        <f>G253/Inventory!$G$2</f>
        <v>7.0175438596491224E-2</v>
      </c>
      <c r="P253"/>
      <c r="AA253"/>
      <c r="AB253"/>
      <c r="AC253"/>
    </row>
    <row r="254" spans="1:29">
      <c r="A254" s="1" t="s">
        <v>533</v>
      </c>
      <c r="B254" s="1" t="s">
        <v>375</v>
      </c>
      <c r="C254" s="1" t="s">
        <v>48</v>
      </c>
      <c r="D254" s="1" t="s">
        <v>163</v>
      </c>
      <c r="E254" s="1" t="s">
        <v>193</v>
      </c>
      <c r="F254" s="1" t="s">
        <v>146</v>
      </c>
      <c r="G254" s="1">
        <v>15</v>
      </c>
      <c r="H254" s="1">
        <v>82</v>
      </c>
      <c r="I254" s="1">
        <v>15</v>
      </c>
      <c r="J254" s="1">
        <v>1045.5</v>
      </c>
      <c r="K254" s="1" t="s">
        <v>235</v>
      </c>
      <c r="L254" s="1" t="str">
        <f t="shared" si="7"/>
        <v>May</v>
      </c>
      <c r="M254" s="2">
        <f>(H254-_xlfn.XLOOKUP(D254,Product_Master!A:A,Product_Master!D:D))*G254</f>
        <v>600</v>
      </c>
      <c r="N254" s="13">
        <f t="shared" si="6"/>
        <v>0.57388809182209466</v>
      </c>
      <c r="O254" s="16">
        <f>G254/Inventory!$G$2</f>
        <v>0.26315789473684209</v>
      </c>
      <c r="P254"/>
      <c r="AA254"/>
      <c r="AB254"/>
      <c r="AC254"/>
    </row>
    <row r="255" spans="1:29">
      <c r="A255" s="1" t="s">
        <v>534</v>
      </c>
      <c r="B255" s="1" t="s">
        <v>447</v>
      </c>
      <c r="C255" s="1" t="s">
        <v>51</v>
      </c>
      <c r="D255" s="1" t="s">
        <v>161</v>
      </c>
      <c r="E255" s="1" t="s">
        <v>191</v>
      </c>
      <c r="F255" s="1" t="s">
        <v>147</v>
      </c>
      <c r="G255" s="1">
        <v>15</v>
      </c>
      <c r="H255" s="1">
        <v>144</v>
      </c>
      <c r="I255" s="1">
        <v>0</v>
      </c>
      <c r="J255" s="1">
        <v>2160</v>
      </c>
      <c r="K255" s="1" t="s">
        <v>55</v>
      </c>
      <c r="L255" s="1" t="str">
        <f t="shared" si="7"/>
        <v>May</v>
      </c>
      <c r="M255" s="2">
        <f>(H255-_xlfn.XLOOKUP(D255,Product_Master!A:A,Product_Master!D:D))*G255</f>
        <v>840</v>
      </c>
      <c r="N255" s="13">
        <f t="shared" si="6"/>
        <v>0.3888888888888889</v>
      </c>
      <c r="O255" s="16">
        <f>G255/Inventory!$G$2</f>
        <v>0.26315789473684209</v>
      </c>
      <c r="P255"/>
      <c r="AA255"/>
      <c r="AB255"/>
      <c r="AC255"/>
    </row>
    <row r="256" spans="1:29">
      <c r="A256" s="1" t="s">
        <v>535</v>
      </c>
      <c r="B256" s="1" t="s">
        <v>536</v>
      </c>
      <c r="C256" s="1" t="s">
        <v>54</v>
      </c>
      <c r="D256" s="1" t="s">
        <v>169</v>
      </c>
      <c r="E256" s="1" t="s">
        <v>199</v>
      </c>
      <c r="F256" s="1" t="s">
        <v>10</v>
      </c>
      <c r="G256" s="1">
        <v>9</v>
      </c>
      <c r="H256" s="1">
        <v>130</v>
      </c>
      <c r="I256" s="1">
        <v>5</v>
      </c>
      <c r="J256" s="1">
        <v>1111.5</v>
      </c>
      <c r="K256" s="1" t="s">
        <v>49</v>
      </c>
      <c r="L256" s="1" t="str">
        <f t="shared" si="7"/>
        <v>May</v>
      </c>
      <c r="M256" s="2">
        <f>(H256-_xlfn.XLOOKUP(D256,Product_Master!A:A,Product_Master!D:D))*G256</f>
        <v>405</v>
      </c>
      <c r="N256" s="13">
        <f t="shared" si="6"/>
        <v>0.36437246963562753</v>
      </c>
      <c r="O256" s="16">
        <f>G256/Inventory!$G$2</f>
        <v>0.15789473684210525</v>
      </c>
      <c r="P256"/>
      <c r="AA256"/>
      <c r="AB256"/>
      <c r="AC256"/>
    </row>
    <row r="257" spans="1:29">
      <c r="A257" s="1" t="s">
        <v>537</v>
      </c>
      <c r="B257" s="1" t="s">
        <v>144</v>
      </c>
      <c r="C257" s="1" t="s">
        <v>54</v>
      </c>
      <c r="D257" s="1" t="s">
        <v>158</v>
      </c>
      <c r="E257" s="1" t="s">
        <v>188</v>
      </c>
      <c r="F257" s="1" t="s">
        <v>10</v>
      </c>
      <c r="G257" s="1">
        <v>8</v>
      </c>
      <c r="H257" s="1">
        <v>65</v>
      </c>
      <c r="I257" s="1">
        <v>0</v>
      </c>
      <c r="J257" s="1">
        <v>520</v>
      </c>
      <c r="K257" s="1" t="s">
        <v>76</v>
      </c>
      <c r="L257" s="1" t="str">
        <f t="shared" si="7"/>
        <v>Apr</v>
      </c>
      <c r="M257" s="2">
        <f>(H257-_xlfn.XLOOKUP(D257,Product_Master!A:A,Product_Master!D:D))*G257</f>
        <v>176</v>
      </c>
      <c r="N257" s="13">
        <f t="shared" si="6"/>
        <v>0.33846153846153848</v>
      </c>
      <c r="O257" s="16">
        <f>G257/Inventory!$G$2</f>
        <v>0.14035087719298245</v>
      </c>
      <c r="P257"/>
      <c r="AA257"/>
      <c r="AB257"/>
      <c r="AC257"/>
    </row>
    <row r="258" spans="1:29">
      <c r="A258" s="1" t="s">
        <v>538</v>
      </c>
      <c r="B258" s="1" t="s">
        <v>144</v>
      </c>
      <c r="C258" s="1" t="s">
        <v>211</v>
      </c>
      <c r="D258" s="1" t="s">
        <v>170</v>
      </c>
      <c r="E258" s="1" t="s">
        <v>200</v>
      </c>
      <c r="F258" s="1" t="s">
        <v>17</v>
      </c>
      <c r="G258" s="1">
        <v>6</v>
      </c>
      <c r="H258" s="1">
        <v>52</v>
      </c>
      <c r="I258" s="1">
        <v>0</v>
      </c>
      <c r="J258" s="1">
        <v>312</v>
      </c>
      <c r="K258" s="1" t="s">
        <v>55</v>
      </c>
      <c r="L258" s="1" t="str">
        <f t="shared" si="7"/>
        <v>Apr</v>
      </c>
      <c r="M258" s="2">
        <f>(H258-_xlfn.XLOOKUP(D258,Product_Master!A:A,Product_Master!D:D))*G258</f>
        <v>234</v>
      </c>
      <c r="N258" s="13">
        <f t="shared" si="6"/>
        <v>0.75</v>
      </c>
      <c r="O258" s="16">
        <f>G258/Inventory!$G$2</f>
        <v>0.10526315789473684</v>
      </c>
      <c r="P258"/>
      <c r="AA258"/>
      <c r="AB258"/>
      <c r="AC258"/>
    </row>
    <row r="259" spans="1:29">
      <c r="A259" s="1" t="s">
        <v>539</v>
      </c>
      <c r="B259" s="1" t="s">
        <v>372</v>
      </c>
      <c r="C259" s="1" t="s">
        <v>51</v>
      </c>
      <c r="D259" s="1" t="s">
        <v>164</v>
      </c>
      <c r="E259" s="1" t="s">
        <v>194</v>
      </c>
      <c r="F259" s="1" t="s">
        <v>147</v>
      </c>
      <c r="G259" s="1">
        <v>3</v>
      </c>
      <c r="H259" s="1">
        <v>135</v>
      </c>
      <c r="I259" s="1">
        <v>10</v>
      </c>
      <c r="J259" s="1">
        <v>364.5</v>
      </c>
      <c r="K259" s="1" t="s">
        <v>235</v>
      </c>
      <c r="L259" s="1" t="str">
        <f t="shared" si="7"/>
        <v>Jun</v>
      </c>
      <c r="M259" s="2">
        <f>(H259-_xlfn.XLOOKUP(D259,Product_Master!A:A,Product_Master!D:D))*G259</f>
        <v>129</v>
      </c>
      <c r="N259" s="13">
        <f t="shared" ref="N259:N322" si="8">M259/J259</f>
        <v>0.35390946502057613</v>
      </c>
      <c r="O259" s="16">
        <f>G259/Inventory!$G$2</f>
        <v>5.2631578947368418E-2</v>
      </c>
      <c r="P259"/>
      <c r="AA259"/>
      <c r="AB259"/>
      <c r="AC259"/>
    </row>
    <row r="260" spans="1:29">
      <c r="A260" s="1" t="s">
        <v>540</v>
      </c>
      <c r="B260" s="1" t="s">
        <v>519</v>
      </c>
      <c r="C260" s="1" t="s">
        <v>51</v>
      </c>
      <c r="D260" s="1" t="s">
        <v>149</v>
      </c>
      <c r="E260" s="1" t="s">
        <v>179</v>
      </c>
      <c r="F260" s="1" t="s">
        <v>17</v>
      </c>
      <c r="G260" s="1">
        <v>13</v>
      </c>
      <c r="H260" s="1">
        <v>98</v>
      </c>
      <c r="I260" s="1">
        <v>10</v>
      </c>
      <c r="J260" s="1">
        <v>1146.5999999999999</v>
      </c>
      <c r="K260" s="1" t="s">
        <v>215</v>
      </c>
      <c r="L260" s="1" t="str">
        <f t="shared" ref="L260:L323" si="9">TEXT(B260,"mmm")</f>
        <v>Jun</v>
      </c>
      <c r="M260" s="2">
        <f>(H260-_xlfn.XLOOKUP(D260,Product_Master!A:A,Product_Master!D:D))*G260</f>
        <v>286</v>
      </c>
      <c r="N260" s="13">
        <f t="shared" si="8"/>
        <v>0.24943310657596374</v>
      </c>
      <c r="O260" s="16">
        <f>G260/Inventory!$G$2</f>
        <v>0.22807017543859648</v>
      </c>
      <c r="P260"/>
      <c r="AA260"/>
      <c r="AB260"/>
      <c r="AC260"/>
    </row>
    <row r="261" spans="1:29">
      <c r="A261" s="1" t="s">
        <v>541</v>
      </c>
      <c r="B261" s="1" t="s">
        <v>253</v>
      </c>
      <c r="C261" s="1" t="s">
        <v>224</v>
      </c>
      <c r="D261" s="1" t="s">
        <v>164</v>
      </c>
      <c r="E261" s="1" t="s">
        <v>194</v>
      </c>
      <c r="F261" s="1" t="s">
        <v>147</v>
      </c>
      <c r="G261" s="1">
        <v>8</v>
      </c>
      <c r="H261" s="1">
        <v>135</v>
      </c>
      <c r="I261" s="1">
        <v>0</v>
      </c>
      <c r="J261" s="1">
        <v>1080</v>
      </c>
      <c r="K261" s="1" t="s">
        <v>55</v>
      </c>
      <c r="L261" s="1" t="str">
        <f t="shared" si="9"/>
        <v>Mar</v>
      </c>
      <c r="M261" s="2">
        <f>(H261-_xlfn.XLOOKUP(D261,Product_Master!A:A,Product_Master!D:D))*G261</f>
        <v>344</v>
      </c>
      <c r="N261" s="13">
        <f t="shared" si="8"/>
        <v>0.31851851851851853</v>
      </c>
      <c r="O261" s="16">
        <f>G261/Inventory!$G$2</f>
        <v>0.14035087719298245</v>
      </c>
      <c r="P261"/>
      <c r="AA261"/>
      <c r="AB261"/>
      <c r="AC261"/>
    </row>
    <row r="262" spans="1:29">
      <c r="A262" s="1" t="s">
        <v>542</v>
      </c>
      <c r="B262" s="1" t="s">
        <v>127</v>
      </c>
      <c r="C262" s="1" t="s">
        <v>224</v>
      </c>
      <c r="D262" s="1" t="s">
        <v>161</v>
      </c>
      <c r="E262" s="1" t="s">
        <v>191</v>
      </c>
      <c r="F262" s="1" t="s">
        <v>147</v>
      </c>
      <c r="G262" s="1">
        <v>7</v>
      </c>
      <c r="H262" s="1">
        <v>144</v>
      </c>
      <c r="I262" s="1">
        <v>15</v>
      </c>
      <c r="J262" s="1">
        <v>856.8</v>
      </c>
      <c r="K262" s="1" t="s">
        <v>235</v>
      </c>
      <c r="L262" s="1" t="str">
        <f t="shared" si="9"/>
        <v>Feb</v>
      </c>
      <c r="M262" s="2">
        <f>(H262-_xlfn.XLOOKUP(D262,Product_Master!A:A,Product_Master!D:D))*G262</f>
        <v>392</v>
      </c>
      <c r="N262" s="13">
        <f t="shared" si="8"/>
        <v>0.45751633986928109</v>
      </c>
      <c r="O262" s="16">
        <f>G262/Inventory!$G$2</f>
        <v>0.12280701754385964</v>
      </c>
      <c r="P262"/>
      <c r="AA262"/>
      <c r="AB262"/>
      <c r="AC262"/>
    </row>
    <row r="263" spans="1:29">
      <c r="A263" s="1" t="s">
        <v>543</v>
      </c>
      <c r="B263" s="1" t="s">
        <v>52</v>
      </c>
      <c r="C263" s="1" t="s">
        <v>45</v>
      </c>
      <c r="D263" s="1" t="s">
        <v>164</v>
      </c>
      <c r="E263" s="1" t="s">
        <v>194</v>
      </c>
      <c r="F263" s="1" t="s">
        <v>147</v>
      </c>
      <c r="G263" s="1">
        <v>7</v>
      </c>
      <c r="H263" s="1">
        <v>135</v>
      </c>
      <c r="I263" s="1">
        <v>0</v>
      </c>
      <c r="J263" s="1">
        <v>945</v>
      </c>
      <c r="K263" s="1" t="s">
        <v>215</v>
      </c>
      <c r="L263" s="1" t="str">
        <f t="shared" si="9"/>
        <v>Apr</v>
      </c>
      <c r="M263" s="2">
        <f>(H263-_xlfn.XLOOKUP(D263,Product_Master!A:A,Product_Master!D:D))*G263</f>
        <v>301</v>
      </c>
      <c r="N263" s="13">
        <f t="shared" si="8"/>
        <v>0.31851851851851853</v>
      </c>
      <c r="O263" s="16">
        <f>G263/Inventory!$G$2</f>
        <v>0.12280701754385964</v>
      </c>
      <c r="P263"/>
      <c r="AA263"/>
      <c r="AB263"/>
      <c r="AC263"/>
    </row>
    <row r="264" spans="1:29">
      <c r="A264" s="1" t="s">
        <v>544</v>
      </c>
      <c r="B264" s="1" t="s">
        <v>283</v>
      </c>
      <c r="C264" s="1" t="s">
        <v>48</v>
      </c>
      <c r="D264" s="1" t="s">
        <v>161</v>
      </c>
      <c r="E264" s="1" t="s">
        <v>191</v>
      </c>
      <c r="F264" s="1" t="s">
        <v>147</v>
      </c>
      <c r="G264" s="1">
        <v>13</v>
      </c>
      <c r="H264" s="1">
        <v>144</v>
      </c>
      <c r="I264" s="1">
        <v>15</v>
      </c>
      <c r="J264" s="1">
        <v>1591.2</v>
      </c>
      <c r="K264" s="1" t="s">
        <v>55</v>
      </c>
      <c r="L264" s="1" t="str">
        <f t="shared" si="9"/>
        <v>Jun</v>
      </c>
      <c r="M264" s="2">
        <f>(H264-_xlfn.XLOOKUP(D264,Product_Master!A:A,Product_Master!D:D))*G264</f>
        <v>728</v>
      </c>
      <c r="N264" s="13">
        <f t="shared" si="8"/>
        <v>0.45751633986928103</v>
      </c>
      <c r="O264" s="16">
        <f>G264/Inventory!$G$2</f>
        <v>0.22807017543859648</v>
      </c>
      <c r="P264"/>
      <c r="AA264"/>
      <c r="AB264"/>
      <c r="AC264"/>
    </row>
    <row r="265" spans="1:29">
      <c r="A265" s="1" t="s">
        <v>545</v>
      </c>
      <c r="B265" s="1" t="s">
        <v>68</v>
      </c>
      <c r="C265" s="1" t="s">
        <v>54</v>
      </c>
      <c r="D265" s="1" t="s">
        <v>154</v>
      </c>
      <c r="E265" s="1" t="s">
        <v>184</v>
      </c>
      <c r="F265" s="1" t="s">
        <v>17</v>
      </c>
      <c r="G265" s="1">
        <v>10</v>
      </c>
      <c r="H265" s="1">
        <v>151</v>
      </c>
      <c r="I265" s="1">
        <v>15</v>
      </c>
      <c r="J265" s="1">
        <v>1283.5</v>
      </c>
      <c r="K265" s="1" t="s">
        <v>76</v>
      </c>
      <c r="L265" s="1" t="str">
        <f t="shared" si="9"/>
        <v>Mar</v>
      </c>
      <c r="M265" s="2">
        <f>(H265-_xlfn.XLOOKUP(D265,Product_Master!A:A,Product_Master!D:D))*G265</f>
        <v>530</v>
      </c>
      <c r="N265" s="13">
        <f t="shared" si="8"/>
        <v>0.41293338527463963</v>
      </c>
      <c r="O265" s="16">
        <f>G265/Inventory!$G$2</f>
        <v>0.17543859649122806</v>
      </c>
      <c r="P265"/>
      <c r="AA265"/>
      <c r="AB265"/>
      <c r="AC265"/>
    </row>
    <row r="266" spans="1:29">
      <c r="A266" s="1" t="s">
        <v>546</v>
      </c>
      <c r="B266" s="1" t="s">
        <v>368</v>
      </c>
      <c r="C266" s="1" t="s">
        <v>54</v>
      </c>
      <c r="D266" s="1" t="s">
        <v>8</v>
      </c>
      <c r="E266" s="1" t="s">
        <v>9</v>
      </c>
      <c r="F266" s="1" t="s">
        <v>10</v>
      </c>
      <c r="G266" s="1">
        <v>3</v>
      </c>
      <c r="H266" s="1">
        <v>146</v>
      </c>
      <c r="I266" s="1">
        <v>10</v>
      </c>
      <c r="J266" s="1">
        <v>394.2</v>
      </c>
      <c r="K266" s="1" t="s">
        <v>76</v>
      </c>
      <c r="L266" s="1" t="str">
        <f t="shared" si="9"/>
        <v>Jun</v>
      </c>
      <c r="M266" s="2">
        <f>(H266-_xlfn.XLOOKUP(D266,Product_Master!A:A,Product_Master!D:D))*G266</f>
        <v>150</v>
      </c>
      <c r="N266" s="13">
        <f t="shared" si="8"/>
        <v>0.38051750380517507</v>
      </c>
      <c r="O266" s="16">
        <f>G266/Inventory!$G$2</f>
        <v>5.2631578947368418E-2</v>
      </c>
      <c r="P266"/>
      <c r="AA266"/>
      <c r="AB266"/>
      <c r="AC266"/>
    </row>
    <row r="267" spans="1:29">
      <c r="A267" s="1" t="s">
        <v>547</v>
      </c>
      <c r="B267" s="1" t="s">
        <v>61</v>
      </c>
      <c r="C267" s="1" t="s">
        <v>211</v>
      </c>
      <c r="D267" s="1" t="s">
        <v>167</v>
      </c>
      <c r="E267" s="1" t="s">
        <v>197</v>
      </c>
      <c r="F267" s="1" t="s">
        <v>17</v>
      </c>
      <c r="G267" s="1">
        <v>3</v>
      </c>
      <c r="H267" s="1">
        <v>135</v>
      </c>
      <c r="I267" s="1">
        <v>5</v>
      </c>
      <c r="J267" s="1">
        <v>384.75</v>
      </c>
      <c r="K267" s="1" t="s">
        <v>55</v>
      </c>
      <c r="L267" s="1" t="str">
        <f t="shared" si="9"/>
        <v>Jan</v>
      </c>
      <c r="M267" s="2">
        <f>(H267-_xlfn.XLOOKUP(D267,Product_Master!A:A,Product_Master!D:D))*G267</f>
        <v>240</v>
      </c>
      <c r="N267" s="13">
        <f t="shared" si="8"/>
        <v>0.62378167641325533</v>
      </c>
      <c r="O267" s="16">
        <f>G267/Inventory!$G$2</f>
        <v>5.2631578947368418E-2</v>
      </c>
      <c r="P267"/>
      <c r="AA267"/>
      <c r="AB267"/>
      <c r="AC267"/>
    </row>
    <row r="268" spans="1:29">
      <c r="A268" s="1" t="s">
        <v>548</v>
      </c>
      <c r="B268" s="1" t="s">
        <v>133</v>
      </c>
      <c r="C268" s="1" t="s">
        <v>211</v>
      </c>
      <c r="D268" s="1" t="s">
        <v>26</v>
      </c>
      <c r="E268" s="1" t="s">
        <v>27</v>
      </c>
      <c r="F268" s="1" t="s">
        <v>147</v>
      </c>
      <c r="G268" s="1">
        <v>10</v>
      </c>
      <c r="H268" s="1">
        <v>160</v>
      </c>
      <c r="I268" s="1">
        <v>5</v>
      </c>
      <c r="J268" s="1">
        <v>1520</v>
      </c>
      <c r="K268" s="1" t="s">
        <v>46</v>
      </c>
      <c r="L268" s="1" t="str">
        <f t="shared" si="9"/>
        <v>Jan</v>
      </c>
      <c r="M268" s="2">
        <f>(H268-_xlfn.XLOOKUP(D268,Product_Master!A:A,Product_Master!D:D))*G268</f>
        <v>660</v>
      </c>
      <c r="N268" s="13">
        <f t="shared" si="8"/>
        <v>0.43421052631578949</v>
      </c>
      <c r="O268" s="16">
        <f>G268/Inventory!$G$2</f>
        <v>0.17543859649122806</v>
      </c>
      <c r="P268"/>
      <c r="AA268"/>
      <c r="AB268"/>
      <c r="AC268"/>
    </row>
    <row r="269" spans="1:29">
      <c r="A269" s="1" t="s">
        <v>549</v>
      </c>
      <c r="B269" s="1" t="s">
        <v>139</v>
      </c>
      <c r="C269" s="1" t="s">
        <v>259</v>
      </c>
      <c r="D269" s="1" t="s">
        <v>163</v>
      </c>
      <c r="E269" s="1" t="s">
        <v>193</v>
      </c>
      <c r="F269" s="1" t="s">
        <v>146</v>
      </c>
      <c r="G269" s="1">
        <v>12</v>
      </c>
      <c r="H269" s="1">
        <v>82</v>
      </c>
      <c r="I269" s="1">
        <v>15</v>
      </c>
      <c r="J269" s="1">
        <v>836.4</v>
      </c>
      <c r="K269" s="1" t="s">
        <v>215</v>
      </c>
      <c r="L269" s="1" t="str">
        <f t="shared" si="9"/>
        <v>Mar</v>
      </c>
      <c r="M269" s="2">
        <f>(H269-_xlfn.XLOOKUP(D269,Product_Master!A:A,Product_Master!D:D))*G269</f>
        <v>480</v>
      </c>
      <c r="N269" s="13">
        <f t="shared" si="8"/>
        <v>0.57388809182209466</v>
      </c>
      <c r="O269" s="16">
        <f>G269/Inventory!$G$2</f>
        <v>0.21052631578947367</v>
      </c>
      <c r="P269"/>
      <c r="AA269"/>
      <c r="AB269"/>
      <c r="AC269"/>
    </row>
    <row r="270" spans="1:29">
      <c r="A270" s="1" t="s">
        <v>550</v>
      </c>
      <c r="B270" s="1" t="s">
        <v>107</v>
      </c>
      <c r="C270" s="1" t="s">
        <v>72</v>
      </c>
      <c r="D270" s="1" t="s">
        <v>150</v>
      </c>
      <c r="E270" s="1" t="s">
        <v>180</v>
      </c>
      <c r="F270" s="1" t="s">
        <v>17</v>
      </c>
      <c r="G270" s="1">
        <v>10</v>
      </c>
      <c r="H270" s="1">
        <v>143</v>
      </c>
      <c r="I270" s="1">
        <v>15</v>
      </c>
      <c r="J270" s="1">
        <v>1215.5</v>
      </c>
      <c r="K270" s="1" t="s">
        <v>55</v>
      </c>
      <c r="L270" s="1" t="str">
        <f t="shared" si="9"/>
        <v>Jan</v>
      </c>
      <c r="M270" s="2">
        <f>(H270-_xlfn.XLOOKUP(D270,Product_Master!A:A,Product_Master!D:D))*G270</f>
        <v>420</v>
      </c>
      <c r="N270" s="13">
        <f t="shared" si="8"/>
        <v>0.34553681612505144</v>
      </c>
      <c r="O270" s="16">
        <f>G270/Inventory!$G$2</f>
        <v>0.17543859649122806</v>
      </c>
      <c r="P270"/>
      <c r="AA270"/>
      <c r="AB270"/>
      <c r="AC270"/>
    </row>
    <row r="271" spans="1:29">
      <c r="A271" s="1" t="s">
        <v>551</v>
      </c>
      <c r="B271" s="1" t="s">
        <v>99</v>
      </c>
      <c r="C271" s="1" t="s">
        <v>222</v>
      </c>
      <c r="D271" s="1" t="s">
        <v>8</v>
      </c>
      <c r="E271" s="1" t="s">
        <v>9</v>
      </c>
      <c r="F271" s="1" t="s">
        <v>10</v>
      </c>
      <c r="G271" s="1">
        <v>9</v>
      </c>
      <c r="H271" s="1">
        <v>146</v>
      </c>
      <c r="I271" s="1">
        <v>0</v>
      </c>
      <c r="J271" s="1">
        <v>1314</v>
      </c>
      <c r="K271" s="1" t="s">
        <v>215</v>
      </c>
      <c r="L271" s="1" t="str">
        <f t="shared" si="9"/>
        <v>Apr</v>
      </c>
      <c r="M271" s="2">
        <f>(H271-_xlfn.XLOOKUP(D271,Product_Master!A:A,Product_Master!D:D))*G271</f>
        <v>450</v>
      </c>
      <c r="N271" s="13">
        <f t="shared" si="8"/>
        <v>0.34246575342465752</v>
      </c>
      <c r="O271" s="16">
        <f>G271/Inventory!$G$2</f>
        <v>0.15789473684210525</v>
      </c>
      <c r="P271"/>
      <c r="AA271"/>
      <c r="AB271"/>
      <c r="AC271"/>
    </row>
    <row r="272" spans="1:29">
      <c r="A272" s="1" t="s">
        <v>552</v>
      </c>
      <c r="B272" s="1" t="s">
        <v>63</v>
      </c>
      <c r="C272" s="1" t="s">
        <v>65</v>
      </c>
      <c r="D272" s="1" t="s">
        <v>171</v>
      </c>
      <c r="E272" s="1" t="s">
        <v>201</v>
      </c>
      <c r="F272" s="1" t="s">
        <v>17</v>
      </c>
      <c r="G272" s="1">
        <v>5</v>
      </c>
      <c r="H272" s="1">
        <v>154</v>
      </c>
      <c r="I272" s="1">
        <v>15</v>
      </c>
      <c r="J272" s="1">
        <v>654.5</v>
      </c>
      <c r="K272" s="1" t="s">
        <v>55</v>
      </c>
      <c r="L272" s="1" t="str">
        <f t="shared" si="9"/>
        <v>Feb</v>
      </c>
      <c r="M272" s="2">
        <f>(H272-_xlfn.XLOOKUP(D272,Product_Master!A:A,Product_Master!D:D))*G272</f>
        <v>290</v>
      </c>
      <c r="N272" s="13">
        <f t="shared" si="8"/>
        <v>0.44308632543926663</v>
      </c>
      <c r="O272" s="16">
        <f>G272/Inventory!$G$2</f>
        <v>8.771929824561403E-2</v>
      </c>
      <c r="P272"/>
      <c r="AA272"/>
      <c r="AB272"/>
      <c r="AC272"/>
    </row>
    <row r="273" spans="1:29">
      <c r="A273" s="1" t="s">
        <v>553</v>
      </c>
      <c r="B273" s="1" t="s">
        <v>83</v>
      </c>
      <c r="C273" s="1" t="s">
        <v>51</v>
      </c>
      <c r="D273" s="1" t="s">
        <v>22</v>
      </c>
      <c r="E273" s="1" t="s">
        <v>23</v>
      </c>
      <c r="F273" s="1" t="s">
        <v>10</v>
      </c>
      <c r="G273" s="1">
        <v>4</v>
      </c>
      <c r="H273" s="1">
        <v>76</v>
      </c>
      <c r="I273" s="1">
        <v>5</v>
      </c>
      <c r="J273" s="1">
        <v>288.8</v>
      </c>
      <c r="K273" s="1" t="s">
        <v>215</v>
      </c>
      <c r="L273" s="1" t="str">
        <f t="shared" si="9"/>
        <v>Jan</v>
      </c>
      <c r="M273" s="2">
        <f>(H273-_xlfn.XLOOKUP(D273,Product_Master!A:A,Product_Master!D:D))*G273</f>
        <v>120</v>
      </c>
      <c r="N273" s="13">
        <f t="shared" si="8"/>
        <v>0.41551246537396119</v>
      </c>
      <c r="O273" s="16">
        <f>G273/Inventory!$G$2</f>
        <v>7.0175438596491224E-2</v>
      </c>
      <c r="P273"/>
      <c r="AA273"/>
      <c r="AB273"/>
      <c r="AC273"/>
    </row>
    <row r="274" spans="1:29">
      <c r="A274" s="1" t="s">
        <v>554</v>
      </c>
      <c r="B274" s="1" t="s">
        <v>101</v>
      </c>
      <c r="C274" s="1" t="s">
        <v>224</v>
      </c>
      <c r="D274" s="1" t="s">
        <v>170</v>
      </c>
      <c r="E274" s="1" t="s">
        <v>200</v>
      </c>
      <c r="F274" s="1" t="s">
        <v>17</v>
      </c>
      <c r="G274" s="1">
        <v>6</v>
      </c>
      <c r="H274" s="1">
        <v>52</v>
      </c>
      <c r="I274" s="1">
        <v>10</v>
      </c>
      <c r="J274" s="1">
        <v>280.8</v>
      </c>
      <c r="K274" s="1" t="s">
        <v>46</v>
      </c>
      <c r="L274" s="1" t="str">
        <f t="shared" si="9"/>
        <v>Jan</v>
      </c>
      <c r="M274" s="2">
        <f>(H274-_xlfn.XLOOKUP(D274,Product_Master!A:A,Product_Master!D:D))*G274</f>
        <v>234</v>
      </c>
      <c r="N274" s="13">
        <f t="shared" si="8"/>
        <v>0.83333333333333326</v>
      </c>
      <c r="O274" s="16">
        <f>G274/Inventory!$G$2</f>
        <v>0.10526315789473684</v>
      </c>
      <c r="P274"/>
      <c r="AA274"/>
      <c r="AB274"/>
      <c r="AC274"/>
    </row>
    <row r="275" spans="1:29">
      <c r="A275" s="1" t="s">
        <v>555</v>
      </c>
      <c r="B275" s="1" t="s">
        <v>100</v>
      </c>
      <c r="C275" s="1" t="s">
        <v>54</v>
      </c>
      <c r="D275" s="1" t="s">
        <v>151</v>
      </c>
      <c r="E275" s="1" t="s">
        <v>181</v>
      </c>
      <c r="F275" s="1" t="s">
        <v>7</v>
      </c>
      <c r="G275" s="1">
        <v>7</v>
      </c>
      <c r="H275" s="1">
        <v>96</v>
      </c>
      <c r="I275" s="1">
        <v>10</v>
      </c>
      <c r="J275" s="1">
        <v>604.79999999999995</v>
      </c>
      <c r="K275" s="1" t="s">
        <v>46</v>
      </c>
      <c r="L275" s="1" t="str">
        <f t="shared" si="9"/>
        <v>Feb</v>
      </c>
      <c r="M275" s="2">
        <f>(H275-_xlfn.XLOOKUP(D275,Product_Master!A:A,Product_Master!D:D))*G275</f>
        <v>532</v>
      </c>
      <c r="N275" s="13">
        <f t="shared" si="8"/>
        <v>0.87962962962962965</v>
      </c>
      <c r="O275" s="16">
        <f>G275/Inventory!$G$2</f>
        <v>0.12280701754385964</v>
      </c>
      <c r="P275"/>
      <c r="AA275"/>
      <c r="AB275"/>
      <c r="AC275"/>
    </row>
    <row r="276" spans="1:29">
      <c r="A276" s="1" t="s">
        <v>556</v>
      </c>
      <c r="B276" s="1" t="s">
        <v>557</v>
      </c>
      <c r="C276" s="1" t="s">
        <v>211</v>
      </c>
      <c r="D276" s="1" t="s">
        <v>173</v>
      </c>
      <c r="E276" s="1" t="s">
        <v>203</v>
      </c>
      <c r="F276" s="1" t="s">
        <v>17</v>
      </c>
      <c r="G276" s="1">
        <v>9</v>
      </c>
      <c r="H276" s="1">
        <v>139</v>
      </c>
      <c r="I276" s="1">
        <v>5</v>
      </c>
      <c r="J276" s="1">
        <v>1188.45</v>
      </c>
      <c r="K276" s="1" t="s">
        <v>235</v>
      </c>
      <c r="L276" s="1" t="str">
        <f t="shared" si="9"/>
        <v>Jun</v>
      </c>
      <c r="M276" s="2">
        <f>(H276-_xlfn.XLOOKUP(D276,Product_Master!A:A,Product_Master!D:D))*G276</f>
        <v>630</v>
      </c>
      <c r="N276" s="13">
        <f t="shared" si="8"/>
        <v>0.53010223400227185</v>
      </c>
      <c r="O276" s="16">
        <f>G276/Inventory!$G$2</f>
        <v>0.15789473684210525</v>
      </c>
      <c r="P276"/>
      <c r="AA276"/>
      <c r="AB276"/>
      <c r="AC276"/>
    </row>
    <row r="277" spans="1:29">
      <c r="A277" s="1" t="s">
        <v>558</v>
      </c>
      <c r="B277" s="1" t="s">
        <v>559</v>
      </c>
      <c r="C277" s="1" t="s">
        <v>51</v>
      </c>
      <c r="D277" s="1" t="s">
        <v>163</v>
      </c>
      <c r="E277" s="1" t="s">
        <v>193</v>
      </c>
      <c r="F277" s="1" t="s">
        <v>146</v>
      </c>
      <c r="G277" s="1">
        <v>4</v>
      </c>
      <c r="H277" s="1">
        <v>82</v>
      </c>
      <c r="I277" s="1">
        <v>10</v>
      </c>
      <c r="J277" s="1">
        <v>295.2</v>
      </c>
      <c r="K277" s="1" t="s">
        <v>46</v>
      </c>
      <c r="L277" s="1" t="str">
        <f t="shared" si="9"/>
        <v>May</v>
      </c>
      <c r="M277" s="2">
        <f>(H277-_xlfn.XLOOKUP(D277,Product_Master!A:A,Product_Master!D:D))*G277</f>
        <v>160</v>
      </c>
      <c r="N277" s="13">
        <f t="shared" si="8"/>
        <v>0.5420054200542006</v>
      </c>
      <c r="O277" s="16">
        <f>G277/Inventory!$G$2</f>
        <v>7.0175438596491224E-2</v>
      </c>
      <c r="P277"/>
      <c r="AA277"/>
      <c r="AB277"/>
      <c r="AC277"/>
    </row>
    <row r="278" spans="1:29">
      <c r="A278" s="1" t="s">
        <v>560</v>
      </c>
      <c r="B278" s="1" t="s">
        <v>412</v>
      </c>
      <c r="C278" s="1" t="s">
        <v>211</v>
      </c>
      <c r="D278" s="1" t="s">
        <v>152</v>
      </c>
      <c r="E278" s="1" t="s">
        <v>182</v>
      </c>
      <c r="F278" s="1" t="s">
        <v>146</v>
      </c>
      <c r="G278" s="1">
        <v>10</v>
      </c>
      <c r="H278" s="1">
        <v>158</v>
      </c>
      <c r="I278" s="1">
        <v>0</v>
      </c>
      <c r="J278" s="1">
        <v>1580</v>
      </c>
      <c r="K278" s="1" t="s">
        <v>49</v>
      </c>
      <c r="L278" s="1" t="str">
        <f t="shared" si="9"/>
        <v>Apr</v>
      </c>
      <c r="M278" s="2">
        <f>(H278-_xlfn.XLOOKUP(D278,Product_Master!A:A,Product_Master!D:D))*G278</f>
        <v>950</v>
      </c>
      <c r="N278" s="13">
        <f t="shared" si="8"/>
        <v>0.60126582278481011</v>
      </c>
      <c r="O278" s="16">
        <f>G278/Inventory!$G$2</f>
        <v>0.17543859649122806</v>
      </c>
      <c r="P278"/>
      <c r="AA278"/>
      <c r="AB278"/>
      <c r="AC278"/>
    </row>
    <row r="279" spans="1:29">
      <c r="A279" s="1" t="s">
        <v>561</v>
      </c>
      <c r="B279" s="1" t="s">
        <v>536</v>
      </c>
      <c r="C279" s="1" t="s">
        <v>57</v>
      </c>
      <c r="D279" s="1" t="s">
        <v>24</v>
      </c>
      <c r="E279" s="1" t="s">
        <v>25</v>
      </c>
      <c r="F279" s="1" t="s">
        <v>146</v>
      </c>
      <c r="G279" s="1">
        <v>11</v>
      </c>
      <c r="H279" s="1">
        <v>96</v>
      </c>
      <c r="I279" s="1">
        <v>10</v>
      </c>
      <c r="J279" s="1">
        <v>950.4</v>
      </c>
      <c r="K279" s="1" t="s">
        <v>46</v>
      </c>
      <c r="L279" s="1" t="str">
        <f t="shared" si="9"/>
        <v>May</v>
      </c>
      <c r="M279" s="2">
        <f>(H279-_xlfn.XLOOKUP(D279,Product_Master!A:A,Product_Master!D:D))*G279</f>
        <v>264</v>
      </c>
      <c r="N279" s="13">
        <f t="shared" si="8"/>
        <v>0.27777777777777779</v>
      </c>
      <c r="O279" s="16">
        <f>G279/Inventory!$G$2</f>
        <v>0.19298245614035087</v>
      </c>
      <c r="P279"/>
      <c r="AA279"/>
      <c r="AB279"/>
      <c r="AC279"/>
    </row>
    <row r="280" spans="1:29">
      <c r="A280" s="1" t="s">
        <v>562</v>
      </c>
      <c r="B280" s="1" t="s">
        <v>100</v>
      </c>
      <c r="C280" s="1" t="s">
        <v>51</v>
      </c>
      <c r="D280" s="1" t="s">
        <v>169</v>
      </c>
      <c r="E280" s="1" t="s">
        <v>199</v>
      </c>
      <c r="F280" s="1" t="s">
        <v>10</v>
      </c>
      <c r="G280" s="1">
        <v>2</v>
      </c>
      <c r="H280" s="1">
        <v>130</v>
      </c>
      <c r="I280" s="1">
        <v>0</v>
      </c>
      <c r="J280" s="1">
        <v>260</v>
      </c>
      <c r="K280" s="1" t="s">
        <v>55</v>
      </c>
      <c r="L280" s="1" t="str">
        <f t="shared" si="9"/>
        <v>Feb</v>
      </c>
      <c r="M280" s="2">
        <f>(H280-_xlfn.XLOOKUP(D280,Product_Master!A:A,Product_Master!D:D))*G280</f>
        <v>90</v>
      </c>
      <c r="N280" s="13">
        <f t="shared" si="8"/>
        <v>0.34615384615384615</v>
      </c>
      <c r="O280" s="16">
        <f>G280/Inventory!$G$2</f>
        <v>3.5087719298245612E-2</v>
      </c>
      <c r="P280"/>
      <c r="AA280"/>
      <c r="AB280"/>
      <c r="AC280"/>
    </row>
    <row r="281" spans="1:29">
      <c r="A281" s="1" t="s">
        <v>563</v>
      </c>
      <c r="B281" s="1" t="s">
        <v>510</v>
      </c>
      <c r="C281" s="1" t="s">
        <v>211</v>
      </c>
      <c r="D281" s="1" t="s">
        <v>162</v>
      </c>
      <c r="E281" s="1" t="s">
        <v>192</v>
      </c>
      <c r="F281" s="1" t="s">
        <v>146</v>
      </c>
      <c r="G281" s="1">
        <v>15</v>
      </c>
      <c r="H281" s="1">
        <v>168</v>
      </c>
      <c r="I281" s="1">
        <v>0</v>
      </c>
      <c r="J281" s="1">
        <v>2520</v>
      </c>
      <c r="K281" s="1" t="s">
        <v>49</v>
      </c>
      <c r="L281" s="1" t="str">
        <f t="shared" si="9"/>
        <v>May</v>
      </c>
      <c r="M281" s="2">
        <f>(H281-_xlfn.XLOOKUP(D281,Product_Master!A:A,Product_Master!D:D))*G281</f>
        <v>825</v>
      </c>
      <c r="N281" s="13">
        <f t="shared" si="8"/>
        <v>0.32738095238095238</v>
      </c>
      <c r="O281" s="16">
        <f>G281/Inventory!$G$2</f>
        <v>0.26315789473684209</v>
      </c>
      <c r="P281"/>
      <c r="AA281"/>
      <c r="AB281"/>
      <c r="AC281"/>
    </row>
    <row r="282" spans="1:29">
      <c r="A282" s="1" t="s">
        <v>564</v>
      </c>
      <c r="B282" s="1" t="s">
        <v>514</v>
      </c>
      <c r="C282" s="1" t="s">
        <v>224</v>
      </c>
      <c r="D282" s="1" t="s">
        <v>155</v>
      </c>
      <c r="E282" s="1" t="s">
        <v>185</v>
      </c>
      <c r="F282" s="1" t="s">
        <v>7</v>
      </c>
      <c r="G282" s="1">
        <v>10</v>
      </c>
      <c r="H282" s="1">
        <v>156</v>
      </c>
      <c r="I282" s="1">
        <v>10</v>
      </c>
      <c r="J282" s="1">
        <v>1404</v>
      </c>
      <c r="K282" s="1" t="s">
        <v>46</v>
      </c>
      <c r="L282" s="1" t="str">
        <f t="shared" si="9"/>
        <v>Apr</v>
      </c>
      <c r="M282" s="2">
        <f>(H282-_xlfn.XLOOKUP(D282,Product_Master!A:A,Product_Master!D:D))*G282</f>
        <v>630</v>
      </c>
      <c r="N282" s="13">
        <f t="shared" si="8"/>
        <v>0.44871794871794873</v>
      </c>
      <c r="O282" s="16">
        <f>G282/Inventory!$G$2</f>
        <v>0.17543859649122806</v>
      </c>
      <c r="P282"/>
      <c r="AA282"/>
      <c r="AB282"/>
      <c r="AC282"/>
    </row>
    <row r="283" spans="1:29">
      <c r="A283" s="1" t="s">
        <v>565</v>
      </c>
      <c r="B283" s="1" t="s">
        <v>78</v>
      </c>
      <c r="C283" s="1" t="s">
        <v>224</v>
      </c>
      <c r="D283" s="1" t="s">
        <v>172</v>
      </c>
      <c r="E283" s="1" t="s">
        <v>202</v>
      </c>
      <c r="F283" s="1" t="s">
        <v>17</v>
      </c>
      <c r="G283" s="1">
        <v>12</v>
      </c>
      <c r="H283" s="1">
        <v>199</v>
      </c>
      <c r="I283" s="1">
        <v>5</v>
      </c>
      <c r="J283" s="1">
        <v>2268.6</v>
      </c>
      <c r="K283" s="1" t="s">
        <v>49</v>
      </c>
      <c r="L283" s="1" t="str">
        <f t="shared" si="9"/>
        <v>Feb</v>
      </c>
      <c r="M283" s="2">
        <f>(H283-_xlfn.XLOOKUP(D283,Product_Master!A:A,Product_Master!D:D))*G283</f>
        <v>1116</v>
      </c>
      <c r="N283" s="13">
        <f t="shared" si="8"/>
        <v>0.49193335096535312</v>
      </c>
      <c r="O283" s="16">
        <f>G283/Inventory!$G$2</f>
        <v>0.21052631578947367</v>
      </c>
      <c r="P283"/>
      <c r="AA283"/>
      <c r="AB283"/>
      <c r="AC283"/>
    </row>
    <row r="284" spans="1:29">
      <c r="A284" s="1" t="s">
        <v>566</v>
      </c>
      <c r="B284" s="1" t="s">
        <v>78</v>
      </c>
      <c r="C284" s="1" t="s">
        <v>48</v>
      </c>
      <c r="D284" s="1" t="s">
        <v>160</v>
      </c>
      <c r="E284" s="1" t="s">
        <v>190</v>
      </c>
      <c r="F284" s="1" t="s">
        <v>7</v>
      </c>
      <c r="G284" s="1">
        <v>6</v>
      </c>
      <c r="H284" s="1">
        <v>37</v>
      </c>
      <c r="I284" s="1">
        <v>10</v>
      </c>
      <c r="J284" s="1">
        <v>199.8</v>
      </c>
      <c r="K284" s="1" t="s">
        <v>235</v>
      </c>
      <c r="L284" s="1" t="str">
        <f t="shared" si="9"/>
        <v>Feb</v>
      </c>
      <c r="M284" s="2">
        <f>(H284-_xlfn.XLOOKUP(D284,Product_Master!A:A,Product_Master!D:D))*G284</f>
        <v>156</v>
      </c>
      <c r="N284" s="13">
        <f t="shared" si="8"/>
        <v>0.78078078078078073</v>
      </c>
      <c r="O284" s="16">
        <f>G284/Inventory!$G$2</f>
        <v>0.10526315789473684</v>
      </c>
      <c r="P284"/>
      <c r="AA284"/>
      <c r="AB284"/>
      <c r="AC284"/>
    </row>
    <row r="285" spans="1:29">
      <c r="A285" s="1" t="s">
        <v>567</v>
      </c>
      <c r="B285" s="1" t="s">
        <v>59</v>
      </c>
      <c r="C285" s="1" t="s">
        <v>211</v>
      </c>
      <c r="D285" s="1" t="s">
        <v>149</v>
      </c>
      <c r="E285" s="1" t="s">
        <v>179</v>
      </c>
      <c r="F285" s="1" t="s">
        <v>17</v>
      </c>
      <c r="G285" s="1">
        <v>4</v>
      </c>
      <c r="H285" s="1">
        <v>98</v>
      </c>
      <c r="I285" s="1">
        <v>15</v>
      </c>
      <c r="J285" s="1">
        <v>333.2</v>
      </c>
      <c r="K285" s="1" t="s">
        <v>76</v>
      </c>
      <c r="L285" s="1" t="str">
        <f t="shared" si="9"/>
        <v>Apr</v>
      </c>
      <c r="M285" s="2">
        <f>(H285-_xlfn.XLOOKUP(D285,Product_Master!A:A,Product_Master!D:D))*G285</f>
        <v>88</v>
      </c>
      <c r="N285" s="13">
        <f t="shared" si="8"/>
        <v>0.26410564225690275</v>
      </c>
      <c r="O285" s="16">
        <f>G285/Inventory!$G$2</f>
        <v>7.0175438596491224E-2</v>
      </c>
      <c r="P285"/>
      <c r="AA285"/>
      <c r="AB285"/>
      <c r="AC285"/>
    </row>
    <row r="286" spans="1:29">
      <c r="A286" s="1" t="s">
        <v>568</v>
      </c>
      <c r="B286" s="1" t="s">
        <v>74</v>
      </c>
      <c r="C286" s="1" t="s">
        <v>51</v>
      </c>
      <c r="D286" s="1" t="s">
        <v>24</v>
      </c>
      <c r="E286" s="1" t="s">
        <v>25</v>
      </c>
      <c r="F286" s="1" t="s">
        <v>146</v>
      </c>
      <c r="G286" s="1">
        <v>7</v>
      </c>
      <c r="H286" s="1">
        <v>96</v>
      </c>
      <c r="I286" s="1">
        <v>15</v>
      </c>
      <c r="J286" s="1">
        <v>571.20000000000005</v>
      </c>
      <c r="K286" s="1" t="s">
        <v>76</v>
      </c>
      <c r="L286" s="1" t="str">
        <f t="shared" si="9"/>
        <v>Feb</v>
      </c>
      <c r="M286" s="2">
        <f>(H286-_xlfn.XLOOKUP(D286,Product_Master!A:A,Product_Master!D:D))*G286</f>
        <v>168</v>
      </c>
      <c r="N286" s="13">
        <f t="shared" si="8"/>
        <v>0.29411764705882348</v>
      </c>
      <c r="O286" s="16">
        <f>G286/Inventory!$G$2</f>
        <v>0.12280701754385964</v>
      </c>
      <c r="P286"/>
      <c r="AA286"/>
      <c r="AB286"/>
      <c r="AC286"/>
    </row>
    <row r="287" spans="1:29">
      <c r="A287" s="1" t="s">
        <v>569</v>
      </c>
      <c r="B287" s="1" t="s">
        <v>570</v>
      </c>
      <c r="C287" s="1" t="s">
        <v>222</v>
      </c>
      <c r="D287" s="1" t="s">
        <v>157</v>
      </c>
      <c r="E287" s="1" t="s">
        <v>187</v>
      </c>
      <c r="F287" s="1" t="s">
        <v>7</v>
      </c>
      <c r="G287" s="1">
        <v>15</v>
      </c>
      <c r="H287" s="1">
        <v>61</v>
      </c>
      <c r="I287" s="1">
        <v>5</v>
      </c>
      <c r="J287" s="1">
        <v>869.25</v>
      </c>
      <c r="K287" s="1" t="s">
        <v>215</v>
      </c>
      <c r="L287" s="1" t="str">
        <f t="shared" si="9"/>
        <v>May</v>
      </c>
      <c r="M287" s="2">
        <f>(H287-_xlfn.XLOOKUP(D287,Product_Master!A:A,Product_Master!D:D))*G287</f>
        <v>765</v>
      </c>
      <c r="N287" s="13">
        <f t="shared" si="8"/>
        <v>0.88006902502157036</v>
      </c>
      <c r="O287" s="16">
        <f>G287/Inventory!$G$2</f>
        <v>0.26315789473684209</v>
      </c>
      <c r="P287"/>
      <c r="AA287"/>
      <c r="AB287"/>
      <c r="AC287"/>
    </row>
    <row r="288" spans="1:29">
      <c r="A288" s="1" t="s">
        <v>571</v>
      </c>
      <c r="B288" s="1" t="s">
        <v>109</v>
      </c>
      <c r="C288" s="1" t="s">
        <v>51</v>
      </c>
      <c r="D288" s="1" t="s">
        <v>173</v>
      </c>
      <c r="E288" s="1" t="s">
        <v>203</v>
      </c>
      <c r="F288" s="1" t="s">
        <v>17</v>
      </c>
      <c r="G288" s="1">
        <v>13</v>
      </c>
      <c r="H288" s="1">
        <v>139</v>
      </c>
      <c r="I288" s="1">
        <v>10</v>
      </c>
      <c r="J288" s="1">
        <v>1626.3</v>
      </c>
      <c r="K288" s="1" t="s">
        <v>76</v>
      </c>
      <c r="L288" s="1" t="str">
        <f t="shared" si="9"/>
        <v>Jan</v>
      </c>
      <c r="M288" s="2">
        <f>(H288-_xlfn.XLOOKUP(D288,Product_Master!A:A,Product_Master!D:D))*G288</f>
        <v>910</v>
      </c>
      <c r="N288" s="13">
        <f t="shared" si="8"/>
        <v>0.55955235811350923</v>
      </c>
      <c r="O288" s="16">
        <f>G288/Inventory!$G$2</f>
        <v>0.22807017543859648</v>
      </c>
      <c r="P288"/>
      <c r="AA288"/>
      <c r="AB288"/>
      <c r="AC288"/>
    </row>
    <row r="289" spans="1:29">
      <c r="A289" s="1" t="s">
        <v>572</v>
      </c>
      <c r="B289" s="1" t="s">
        <v>573</v>
      </c>
      <c r="C289" s="1" t="s">
        <v>48</v>
      </c>
      <c r="D289" s="1" t="s">
        <v>164</v>
      </c>
      <c r="E289" s="1" t="s">
        <v>194</v>
      </c>
      <c r="F289" s="1" t="s">
        <v>147</v>
      </c>
      <c r="G289" s="1">
        <v>8</v>
      </c>
      <c r="H289" s="1">
        <v>135</v>
      </c>
      <c r="I289" s="1">
        <v>0</v>
      </c>
      <c r="J289" s="1">
        <v>1080</v>
      </c>
      <c r="K289" s="1" t="s">
        <v>46</v>
      </c>
      <c r="L289" s="1" t="str">
        <f t="shared" si="9"/>
        <v>May</v>
      </c>
      <c r="M289" s="2">
        <f>(H289-_xlfn.XLOOKUP(D289,Product_Master!A:A,Product_Master!D:D))*G289</f>
        <v>344</v>
      </c>
      <c r="N289" s="13">
        <f t="shared" si="8"/>
        <v>0.31851851851851853</v>
      </c>
      <c r="O289" s="16">
        <f>G289/Inventory!$G$2</f>
        <v>0.14035087719298245</v>
      </c>
      <c r="P289"/>
      <c r="AA289"/>
      <c r="AB289"/>
      <c r="AC289"/>
    </row>
    <row r="290" spans="1:29">
      <c r="A290" s="1" t="s">
        <v>574</v>
      </c>
      <c r="B290" s="1" t="s">
        <v>68</v>
      </c>
      <c r="C290" s="1" t="s">
        <v>54</v>
      </c>
      <c r="D290" s="1" t="s">
        <v>159</v>
      </c>
      <c r="E290" s="1" t="s">
        <v>189</v>
      </c>
      <c r="F290" s="1" t="s">
        <v>146</v>
      </c>
      <c r="G290" s="1">
        <v>9</v>
      </c>
      <c r="H290" s="1">
        <v>147</v>
      </c>
      <c r="I290" s="1">
        <v>10</v>
      </c>
      <c r="J290" s="1">
        <v>1190.7</v>
      </c>
      <c r="K290" s="1" t="s">
        <v>215</v>
      </c>
      <c r="L290" s="1" t="str">
        <f t="shared" si="9"/>
        <v>Mar</v>
      </c>
      <c r="M290" s="2">
        <f>(H290-_xlfn.XLOOKUP(D290,Product_Master!A:A,Product_Master!D:D))*G290</f>
        <v>774</v>
      </c>
      <c r="N290" s="13">
        <f t="shared" si="8"/>
        <v>0.65003779289493568</v>
      </c>
      <c r="O290" s="16">
        <f>G290/Inventory!$G$2</f>
        <v>0.15789473684210525</v>
      </c>
      <c r="P290"/>
      <c r="AA290"/>
      <c r="AB290"/>
      <c r="AC290"/>
    </row>
    <row r="291" spans="1:29">
      <c r="A291" s="1" t="s">
        <v>575</v>
      </c>
      <c r="B291" s="1" t="s">
        <v>368</v>
      </c>
      <c r="C291" s="1" t="s">
        <v>259</v>
      </c>
      <c r="D291" s="1" t="s">
        <v>177</v>
      </c>
      <c r="E291" s="1" t="s">
        <v>207</v>
      </c>
      <c r="F291" s="1" t="s">
        <v>146</v>
      </c>
      <c r="G291" s="1">
        <v>12</v>
      </c>
      <c r="H291" s="1">
        <v>145</v>
      </c>
      <c r="I291" s="1">
        <v>10</v>
      </c>
      <c r="J291" s="1">
        <v>1566</v>
      </c>
      <c r="K291" s="1" t="s">
        <v>46</v>
      </c>
      <c r="L291" s="1" t="str">
        <f t="shared" si="9"/>
        <v>Jun</v>
      </c>
      <c r="M291" s="2">
        <f>(H291-_xlfn.XLOOKUP(D291,Product_Master!A:A,Product_Master!D:D))*G291</f>
        <v>984</v>
      </c>
      <c r="N291" s="13">
        <f t="shared" si="8"/>
        <v>0.62835249042145591</v>
      </c>
      <c r="O291" s="16">
        <f>G291/Inventory!$G$2</f>
        <v>0.21052631578947367</v>
      </c>
      <c r="P291"/>
      <c r="AA291"/>
      <c r="AB291"/>
      <c r="AC291"/>
    </row>
    <row r="292" spans="1:29">
      <c r="A292" s="1" t="s">
        <v>576</v>
      </c>
      <c r="B292" s="1" t="s">
        <v>62</v>
      </c>
      <c r="C292" s="1" t="s">
        <v>48</v>
      </c>
      <c r="D292" s="1" t="s">
        <v>171</v>
      </c>
      <c r="E292" s="1" t="s">
        <v>201</v>
      </c>
      <c r="F292" s="1" t="s">
        <v>17</v>
      </c>
      <c r="G292" s="1">
        <v>1</v>
      </c>
      <c r="H292" s="1">
        <v>154</v>
      </c>
      <c r="I292" s="1">
        <v>5</v>
      </c>
      <c r="J292" s="1">
        <v>146.30000000000001</v>
      </c>
      <c r="K292" s="1" t="s">
        <v>76</v>
      </c>
      <c r="L292" s="1" t="str">
        <f t="shared" si="9"/>
        <v>Jan</v>
      </c>
      <c r="M292" s="2">
        <f>(H292-_xlfn.XLOOKUP(D292,Product_Master!A:A,Product_Master!D:D))*G292</f>
        <v>58</v>
      </c>
      <c r="N292" s="13">
        <f t="shared" si="8"/>
        <v>0.39644565960355432</v>
      </c>
      <c r="O292" s="16">
        <f>G292/Inventory!$G$2</f>
        <v>1.7543859649122806E-2</v>
      </c>
      <c r="P292"/>
      <c r="AA292"/>
      <c r="AB292"/>
      <c r="AC292"/>
    </row>
    <row r="293" spans="1:29">
      <c r="A293" s="1" t="s">
        <v>577</v>
      </c>
      <c r="B293" s="1" t="s">
        <v>97</v>
      </c>
      <c r="C293" s="1" t="s">
        <v>57</v>
      </c>
      <c r="D293" s="1" t="s">
        <v>22</v>
      </c>
      <c r="E293" s="1" t="s">
        <v>23</v>
      </c>
      <c r="F293" s="1" t="s">
        <v>10</v>
      </c>
      <c r="G293" s="1">
        <v>14</v>
      </c>
      <c r="H293" s="1">
        <v>76</v>
      </c>
      <c r="I293" s="1">
        <v>10</v>
      </c>
      <c r="J293" s="1">
        <v>957.6</v>
      </c>
      <c r="K293" s="1" t="s">
        <v>235</v>
      </c>
      <c r="L293" s="1" t="str">
        <f t="shared" si="9"/>
        <v>Mar</v>
      </c>
      <c r="M293" s="2">
        <f>(H293-_xlfn.XLOOKUP(D293,Product_Master!A:A,Product_Master!D:D))*G293</f>
        <v>420</v>
      </c>
      <c r="N293" s="13">
        <f t="shared" si="8"/>
        <v>0.43859649122807015</v>
      </c>
      <c r="O293" s="16">
        <f>G293/Inventory!$G$2</f>
        <v>0.24561403508771928</v>
      </c>
      <c r="P293"/>
      <c r="AA293"/>
      <c r="AB293"/>
      <c r="AC293"/>
    </row>
    <row r="294" spans="1:29">
      <c r="A294" s="1" t="s">
        <v>578</v>
      </c>
      <c r="B294" s="1" t="s">
        <v>110</v>
      </c>
      <c r="C294" s="1" t="s">
        <v>224</v>
      </c>
      <c r="D294" s="1" t="s">
        <v>171</v>
      </c>
      <c r="E294" s="1" t="s">
        <v>201</v>
      </c>
      <c r="F294" s="1" t="s">
        <v>17</v>
      </c>
      <c r="G294" s="1">
        <v>15</v>
      </c>
      <c r="H294" s="1">
        <v>154</v>
      </c>
      <c r="I294" s="1">
        <v>5</v>
      </c>
      <c r="J294" s="1">
        <v>2194.5</v>
      </c>
      <c r="K294" s="1" t="s">
        <v>215</v>
      </c>
      <c r="L294" s="1" t="str">
        <f t="shared" si="9"/>
        <v>Jan</v>
      </c>
      <c r="M294" s="2">
        <f>(H294-_xlfn.XLOOKUP(D294,Product_Master!A:A,Product_Master!D:D))*G294</f>
        <v>870</v>
      </c>
      <c r="N294" s="13">
        <f t="shared" si="8"/>
        <v>0.39644565960355432</v>
      </c>
      <c r="O294" s="16">
        <f>G294/Inventory!$G$2</f>
        <v>0.26315789473684209</v>
      </c>
      <c r="P294"/>
      <c r="AA294"/>
      <c r="AB294"/>
      <c r="AC294"/>
    </row>
    <row r="295" spans="1:29">
      <c r="A295" s="1" t="s">
        <v>579</v>
      </c>
      <c r="B295" s="1" t="s">
        <v>79</v>
      </c>
      <c r="C295" s="1" t="s">
        <v>224</v>
      </c>
      <c r="D295" s="1" t="s">
        <v>167</v>
      </c>
      <c r="E295" s="1" t="s">
        <v>197</v>
      </c>
      <c r="F295" s="1" t="s">
        <v>17</v>
      </c>
      <c r="G295" s="1">
        <v>9</v>
      </c>
      <c r="H295" s="1">
        <v>135</v>
      </c>
      <c r="I295" s="1">
        <v>5</v>
      </c>
      <c r="J295" s="1">
        <v>1154.25</v>
      </c>
      <c r="K295" s="1" t="s">
        <v>55</v>
      </c>
      <c r="L295" s="1" t="str">
        <f t="shared" si="9"/>
        <v>Mar</v>
      </c>
      <c r="M295" s="2">
        <f>(H295-_xlfn.XLOOKUP(D295,Product_Master!A:A,Product_Master!D:D))*G295</f>
        <v>720</v>
      </c>
      <c r="N295" s="13">
        <f t="shared" si="8"/>
        <v>0.62378167641325533</v>
      </c>
      <c r="O295" s="16">
        <f>G295/Inventory!$G$2</f>
        <v>0.15789473684210525</v>
      </c>
      <c r="P295"/>
      <c r="AA295"/>
      <c r="AB295"/>
      <c r="AC295"/>
    </row>
    <row r="296" spans="1:29">
      <c r="A296" s="1" t="s">
        <v>580</v>
      </c>
      <c r="B296" s="1" t="s">
        <v>137</v>
      </c>
      <c r="C296" s="1" t="s">
        <v>211</v>
      </c>
      <c r="D296" s="1" t="s">
        <v>160</v>
      </c>
      <c r="E296" s="1" t="s">
        <v>190</v>
      </c>
      <c r="F296" s="1" t="s">
        <v>7</v>
      </c>
      <c r="G296" s="1">
        <v>11</v>
      </c>
      <c r="H296" s="1">
        <v>37</v>
      </c>
      <c r="I296" s="1">
        <v>15</v>
      </c>
      <c r="J296" s="1">
        <v>345.95</v>
      </c>
      <c r="K296" s="1" t="s">
        <v>55</v>
      </c>
      <c r="L296" s="1" t="str">
        <f t="shared" si="9"/>
        <v>Mar</v>
      </c>
      <c r="M296" s="2">
        <f>(H296-_xlfn.XLOOKUP(D296,Product_Master!A:A,Product_Master!D:D))*G296</f>
        <v>286</v>
      </c>
      <c r="N296" s="13">
        <f t="shared" si="8"/>
        <v>0.82670906200317973</v>
      </c>
      <c r="O296" s="16">
        <f>G296/Inventory!$G$2</f>
        <v>0.19298245614035087</v>
      </c>
      <c r="P296"/>
      <c r="AA296"/>
      <c r="AB296"/>
      <c r="AC296"/>
    </row>
    <row r="297" spans="1:29">
      <c r="A297" s="1" t="s">
        <v>581</v>
      </c>
      <c r="B297" s="1" t="s">
        <v>233</v>
      </c>
      <c r="C297" s="1" t="s">
        <v>222</v>
      </c>
      <c r="D297" s="1" t="s">
        <v>161</v>
      </c>
      <c r="E297" s="1" t="s">
        <v>191</v>
      </c>
      <c r="F297" s="1" t="s">
        <v>147</v>
      </c>
      <c r="G297" s="1">
        <v>10</v>
      </c>
      <c r="H297" s="1">
        <v>144</v>
      </c>
      <c r="I297" s="1">
        <v>15</v>
      </c>
      <c r="J297" s="1">
        <v>1224</v>
      </c>
      <c r="K297" s="1" t="s">
        <v>55</v>
      </c>
      <c r="L297" s="1" t="str">
        <f t="shared" si="9"/>
        <v>Jun</v>
      </c>
      <c r="M297" s="2">
        <f>(H297-_xlfn.XLOOKUP(D297,Product_Master!A:A,Product_Master!D:D))*G297</f>
        <v>560</v>
      </c>
      <c r="N297" s="13">
        <f t="shared" si="8"/>
        <v>0.45751633986928103</v>
      </c>
      <c r="O297" s="16">
        <f>G297/Inventory!$G$2</f>
        <v>0.17543859649122806</v>
      </c>
      <c r="P297"/>
      <c r="AA297"/>
      <c r="AB297"/>
      <c r="AC297"/>
    </row>
    <row r="298" spans="1:29">
      <c r="A298" s="1" t="s">
        <v>582</v>
      </c>
      <c r="B298" s="1" t="s">
        <v>56</v>
      </c>
      <c r="C298" s="1" t="s">
        <v>65</v>
      </c>
      <c r="D298" s="1" t="s">
        <v>153</v>
      </c>
      <c r="E298" s="1" t="s">
        <v>183</v>
      </c>
      <c r="F298" s="1" t="s">
        <v>17</v>
      </c>
      <c r="G298" s="1">
        <v>12</v>
      </c>
      <c r="H298" s="1">
        <v>89</v>
      </c>
      <c r="I298" s="1">
        <v>15</v>
      </c>
      <c r="J298" s="1">
        <v>907.8</v>
      </c>
      <c r="K298" s="1" t="s">
        <v>55</v>
      </c>
      <c r="L298" s="1" t="str">
        <f t="shared" si="9"/>
        <v>Feb</v>
      </c>
      <c r="M298" s="2">
        <f>(H298-_xlfn.XLOOKUP(D298,Product_Master!A:A,Product_Master!D:D))*G298</f>
        <v>780</v>
      </c>
      <c r="N298" s="13">
        <f t="shared" si="8"/>
        <v>0.85922009253139464</v>
      </c>
      <c r="O298" s="16">
        <f>G298/Inventory!$G$2</f>
        <v>0.21052631578947367</v>
      </c>
      <c r="P298"/>
      <c r="AA298"/>
      <c r="AB298"/>
      <c r="AC298"/>
    </row>
    <row r="299" spans="1:29">
      <c r="A299" s="1" t="s">
        <v>583</v>
      </c>
      <c r="B299" s="1" t="s">
        <v>313</v>
      </c>
      <c r="C299" s="1" t="s">
        <v>259</v>
      </c>
      <c r="D299" s="1" t="s">
        <v>172</v>
      </c>
      <c r="E299" s="1" t="s">
        <v>202</v>
      </c>
      <c r="F299" s="1" t="s">
        <v>17</v>
      </c>
      <c r="G299" s="1">
        <v>5</v>
      </c>
      <c r="H299" s="1">
        <v>199</v>
      </c>
      <c r="I299" s="1">
        <v>15</v>
      </c>
      <c r="J299" s="1">
        <v>845.75</v>
      </c>
      <c r="K299" s="1" t="s">
        <v>46</v>
      </c>
      <c r="L299" s="1" t="str">
        <f t="shared" si="9"/>
        <v>Jun</v>
      </c>
      <c r="M299" s="2">
        <f>(H299-_xlfn.XLOOKUP(D299,Product_Master!A:A,Product_Master!D:D))*G299</f>
        <v>465</v>
      </c>
      <c r="N299" s="13">
        <f t="shared" si="8"/>
        <v>0.54980786284362992</v>
      </c>
      <c r="O299" s="16">
        <f>G299/Inventory!$G$2</f>
        <v>8.771929824561403E-2</v>
      </c>
      <c r="P299"/>
      <c r="AA299"/>
      <c r="AB299"/>
      <c r="AC299"/>
    </row>
    <row r="300" spans="1:29">
      <c r="A300" s="1" t="s">
        <v>584</v>
      </c>
      <c r="B300" s="1" t="s">
        <v>243</v>
      </c>
      <c r="C300" s="1" t="s">
        <v>65</v>
      </c>
      <c r="D300" s="1" t="s">
        <v>154</v>
      </c>
      <c r="E300" s="1" t="s">
        <v>184</v>
      </c>
      <c r="F300" s="1" t="s">
        <v>17</v>
      </c>
      <c r="G300" s="1">
        <v>3</v>
      </c>
      <c r="H300" s="1">
        <v>151</v>
      </c>
      <c r="I300" s="1">
        <v>0</v>
      </c>
      <c r="J300" s="1">
        <v>453</v>
      </c>
      <c r="K300" s="1" t="s">
        <v>76</v>
      </c>
      <c r="L300" s="1" t="str">
        <f t="shared" si="9"/>
        <v>Jun</v>
      </c>
      <c r="M300" s="2">
        <f>(H300-_xlfn.XLOOKUP(D300,Product_Master!A:A,Product_Master!D:D))*G300</f>
        <v>159</v>
      </c>
      <c r="N300" s="13">
        <f t="shared" si="8"/>
        <v>0.35099337748344372</v>
      </c>
      <c r="O300" s="16">
        <f>G300/Inventory!$G$2</f>
        <v>5.2631578947368418E-2</v>
      </c>
      <c r="P300"/>
      <c r="AA300"/>
      <c r="AB300"/>
      <c r="AC300"/>
    </row>
    <row r="301" spans="1:29">
      <c r="A301" s="1" t="s">
        <v>585</v>
      </c>
      <c r="B301" s="1" t="s">
        <v>557</v>
      </c>
      <c r="C301" s="1" t="s">
        <v>48</v>
      </c>
      <c r="D301" s="1" t="s">
        <v>13</v>
      </c>
      <c r="E301" s="1" t="s">
        <v>14</v>
      </c>
      <c r="F301" s="1" t="s">
        <v>147</v>
      </c>
      <c r="G301" s="1">
        <v>1</v>
      </c>
      <c r="H301" s="1">
        <v>99</v>
      </c>
      <c r="I301" s="1">
        <v>0</v>
      </c>
      <c r="J301" s="1">
        <v>99</v>
      </c>
      <c r="K301" s="1" t="s">
        <v>76</v>
      </c>
      <c r="L301" s="1" t="str">
        <f t="shared" si="9"/>
        <v>Jun</v>
      </c>
      <c r="M301" s="2">
        <f>(H301-_xlfn.XLOOKUP(D301,Product_Master!A:A,Product_Master!D:D))*G301</f>
        <v>24</v>
      </c>
      <c r="N301" s="13">
        <f t="shared" si="8"/>
        <v>0.24242424242424243</v>
      </c>
      <c r="O301" s="16">
        <f>G301/Inventory!$G$2</f>
        <v>1.7543859649122806E-2</v>
      </c>
      <c r="P301"/>
      <c r="AA301"/>
      <c r="AB301"/>
      <c r="AC301"/>
    </row>
    <row r="302" spans="1:29">
      <c r="A302" s="1" t="s">
        <v>586</v>
      </c>
      <c r="B302" s="1" t="s">
        <v>283</v>
      </c>
      <c r="C302" s="1" t="s">
        <v>65</v>
      </c>
      <c r="D302" s="1" t="s">
        <v>11</v>
      </c>
      <c r="E302" s="1" t="s">
        <v>12</v>
      </c>
      <c r="F302" s="1" t="s">
        <v>147</v>
      </c>
      <c r="G302" s="1">
        <v>12</v>
      </c>
      <c r="H302" s="1">
        <v>86</v>
      </c>
      <c r="I302" s="1">
        <v>5</v>
      </c>
      <c r="J302" s="1">
        <v>980.4</v>
      </c>
      <c r="K302" s="1" t="s">
        <v>235</v>
      </c>
      <c r="L302" s="1" t="str">
        <f t="shared" si="9"/>
        <v>Jun</v>
      </c>
      <c r="M302" s="2">
        <f>(H302-_xlfn.XLOOKUP(D302,Product_Master!A:A,Product_Master!D:D))*G302</f>
        <v>240</v>
      </c>
      <c r="N302" s="13">
        <f t="shared" si="8"/>
        <v>0.24479804161566707</v>
      </c>
      <c r="O302" s="16">
        <f>G302/Inventory!$G$2</f>
        <v>0.21052631578947367</v>
      </c>
      <c r="P302"/>
      <c r="AA302"/>
      <c r="AB302"/>
      <c r="AC302"/>
    </row>
    <row r="303" spans="1:29">
      <c r="A303" s="1" t="s">
        <v>587</v>
      </c>
      <c r="B303" s="1" t="s">
        <v>588</v>
      </c>
      <c r="C303" s="1" t="s">
        <v>259</v>
      </c>
      <c r="D303" s="1" t="s">
        <v>174</v>
      </c>
      <c r="E303" s="1" t="s">
        <v>204</v>
      </c>
      <c r="F303" s="1" t="s">
        <v>7</v>
      </c>
      <c r="G303" s="1">
        <v>15</v>
      </c>
      <c r="H303" s="1">
        <v>160</v>
      </c>
      <c r="I303" s="1">
        <v>5</v>
      </c>
      <c r="J303" s="1">
        <v>2280</v>
      </c>
      <c r="K303" s="1" t="s">
        <v>215</v>
      </c>
      <c r="L303" s="1" t="str">
        <f t="shared" si="9"/>
        <v>Jun</v>
      </c>
      <c r="M303" s="2">
        <f>(H303-_xlfn.XLOOKUP(D303,Product_Master!A:A,Product_Master!D:D))*G303</f>
        <v>825</v>
      </c>
      <c r="N303" s="13">
        <f t="shared" si="8"/>
        <v>0.36184210526315791</v>
      </c>
      <c r="O303" s="16">
        <f>G303/Inventory!$G$2</f>
        <v>0.26315789473684209</v>
      </c>
      <c r="P303"/>
      <c r="AA303"/>
      <c r="AB303"/>
      <c r="AC303"/>
    </row>
    <row r="304" spans="1:29">
      <c r="A304" s="1" t="s">
        <v>589</v>
      </c>
      <c r="B304" s="1" t="s">
        <v>139</v>
      </c>
      <c r="C304" s="1" t="s">
        <v>45</v>
      </c>
      <c r="D304" s="1" t="s">
        <v>26</v>
      </c>
      <c r="E304" s="1" t="s">
        <v>27</v>
      </c>
      <c r="F304" s="1" t="s">
        <v>147</v>
      </c>
      <c r="G304" s="1">
        <v>14</v>
      </c>
      <c r="H304" s="1">
        <v>160</v>
      </c>
      <c r="I304" s="1">
        <v>10</v>
      </c>
      <c r="J304" s="1">
        <v>2016</v>
      </c>
      <c r="K304" s="1" t="s">
        <v>49</v>
      </c>
      <c r="L304" s="1" t="str">
        <f t="shared" si="9"/>
        <v>Mar</v>
      </c>
      <c r="M304" s="2">
        <f>(H304-_xlfn.XLOOKUP(D304,Product_Master!A:A,Product_Master!D:D))*G304</f>
        <v>924</v>
      </c>
      <c r="N304" s="13">
        <f t="shared" si="8"/>
        <v>0.45833333333333331</v>
      </c>
      <c r="O304" s="16">
        <f>G304/Inventory!$G$2</f>
        <v>0.24561403508771928</v>
      </c>
      <c r="P304"/>
      <c r="AA304"/>
      <c r="AB304"/>
      <c r="AC304"/>
    </row>
    <row r="305" spans="1:29">
      <c r="A305" s="1" t="s">
        <v>590</v>
      </c>
      <c r="B305" s="1" t="s">
        <v>84</v>
      </c>
      <c r="C305" s="1" t="s">
        <v>224</v>
      </c>
      <c r="D305" s="1" t="s">
        <v>154</v>
      </c>
      <c r="E305" s="1" t="s">
        <v>184</v>
      </c>
      <c r="F305" s="1" t="s">
        <v>17</v>
      </c>
      <c r="G305" s="1">
        <v>1</v>
      </c>
      <c r="H305" s="1">
        <v>151</v>
      </c>
      <c r="I305" s="1">
        <v>5</v>
      </c>
      <c r="J305" s="1">
        <v>143.44999999999999</v>
      </c>
      <c r="K305" s="1" t="s">
        <v>215</v>
      </c>
      <c r="L305" s="1" t="str">
        <f t="shared" si="9"/>
        <v>Apr</v>
      </c>
      <c r="M305" s="2">
        <f>(H305-_xlfn.XLOOKUP(D305,Product_Master!A:A,Product_Master!D:D))*G305</f>
        <v>53</v>
      </c>
      <c r="N305" s="13">
        <f t="shared" si="8"/>
        <v>0.36946671314046708</v>
      </c>
      <c r="O305" s="16">
        <f>G305/Inventory!$G$2</f>
        <v>1.7543859649122806E-2</v>
      </c>
      <c r="P305"/>
      <c r="AA305"/>
      <c r="AB305"/>
      <c r="AC305"/>
    </row>
    <row r="306" spans="1:29">
      <c r="A306" s="1" t="s">
        <v>591</v>
      </c>
      <c r="B306" s="1" t="s">
        <v>58</v>
      </c>
      <c r="C306" s="1" t="s">
        <v>211</v>
      </c>
      <c r="D306" s="1" t="s">
        <v>169</v>
      </c>
      <c r="E306" s="1" t="s">
        <v>199</v>
      </c>
      <c r="F306" s="1" t="s">
        <v>10</v>
      </c>
      <c r="G306" s="1">
        <v>8</v>
      </c>
      <c r="H306" s="1">
        <v>130</v>
      </c>
      <c r="I306" s="1">
        <v>15</v>
      </c>
      <c r="J306" s="1">
        <v>884</v>
      </c>
      <c r="K306" s="1" t="s">
        <v>215</v>
      </c>
      <c r="L306" s="1" t="str">
        <f t="shared" si="9"/>
        <v>Apr</v>
      </c>
      <c r="M306" s="2">
        <f>(H306-_xlfn.XLOOKUP(D306,Product_Master!A:A,Product_Master!D:D))*G306</f>
        <v>360</v>
      </c>
      <c r="N306" s="13">
        <f t="shared" si="8"/>
        <v>0.40723981900452488</v>
      </c>
      <c r="O306" s="16">
        <f>G306/Inventory!$G$2</f>
        <v>0.14035087719298245</v>
      </c>
      <c r="P306"/>
      <c r="AA306"/>
      <c r="AB306"/>
      <c r="AC306"/>
    </row>
    <row r="307" spans="1:29">
      <c r="A307" s="1" t="s">
        <v>592</v>
      </c>
      <c r="B307" s="1" t="s">
        <v>134</v>
      </c>
      <c r="C307" s="1" t="s">
        <v>48</v>
      </c>
      <c r="D307" s="1" t="s">
        <v>153</v>
      </c>
      <c r="E307" s="1" t="s">
        <v>183</v>
      </c>
      <c r="F307" s="1" t="s">
        <v>17</v>
      </c>
      <c r="G307" s="1">
        <v>7</v>
      </c>
      <c r="H307" s="1">
        <v>89</v>
      </c>
      <c r="I307" s="1">
        <v>0</v>
      </c>
      <c r="J307" s="1">
        <v>623</v>
      </c>
      <c r="K307" s="1" t="s">
        <v>55</v>
      </c>
      <c r="L307" s="1" t="str">
        <f t="shared" si="9"/>
        <v>Feb</v>
      </c>
      <c r="M307" s="2">
        <f>(H307-_xlfn.XLOOKUP(D307,Product_Master!A:A,Product_Master!D:D))*G307</f>
        <v>455</v>
      </c>
      <c r="N307" s="13">
        <f t="shared" si="8"/>
        <v>0.7303370786516854</v>
      </c>
      <c r="O307" s="16">
        <f>G307/Inventory!$G$2</f>
        <v>0.12280701754385964</v>
      </c>
      <c r="P307"/>
      <c r="AA307"/>
      <c r="AB307"/>
      <c r="AC307"/>
    </row>
    <row r="308" spans="1:29">
      <c r="A308" s="1" t="s">
        <v>593</v>
      </c>
      <c r="B308" s="1" t="s">
        <v>64</v>
      </c>
      <c r="C308" s="1" t="s">
        <v>211</v>
      </c>
      <c r="D308" s="1" t="s">
        <v>160</v>
      </c>
      <c r="E308" s="1" t="s">
        <v>190</v>
      </c>
      <c r="F308" s="1" t="s">
        <v>7</v>
      </c>
      <c r="G308" s="1">
        <v>14</v>
      </c>
      <c r="H308" s="1">
        <v>37</v>
      </c>
      <c r="I308" s="1">
        <v>0</v>
      </c>
      <c r="J308" s="1">
        <v>518</v>
      </c>
      <c r="K308" s="1" t="s">
        <v>49</v>
      </c>
      <c r="L308" s="1" t="str">
        <f t="shared" si="9"/>
        <v>Jan</v>
      </c>
      <c r="M308" s="2">
        <f>(H308-_xlfn.XLOOKUP(D308,Product_Master!A:A,Product_Master!D:D))*G308</f>
        <v>364</v>
      </c>
      <c r="N308" s="13">
        <f t="shared" si="8"/>
        <v>0.70270270270270274</v>
      </c>
      <c r="O308" s="16">
        <f>G308/Inventory!$G$2</f>
        <v>0.24561403508771928</v>
      </c>
      <c r="P308"/>
      <c r="AA308"/>
      <c r="AB308"/>
      <c r="AC308"/>
    </row>
    <row r="309" spans="1:29">
      <c r="A309" s="1" t="s">
        <v>594</v>
      </c>
      <c r="B309" s="1" t="s">
        <v>573</v>
      </c>
      <c r="C309" s="1" t="s">
        <v>65</v>
      </c>
      <c r="D309" s="1" t="s">
        <v>24</v>
      </c>
      <c r="E309" s="1" t="s">
        <v>25</v>
      </c>
      <c r="F309" s="1" t="s">
        <v>146</v>
      </c>
      <c r="G309" s="1">
        <v>4</v>
      </c>
      <c r="H309" s="1">
        <v>96</v>
      </c>
      <c r="I309" s="1">
        <v>0</v>
      </c>
      <c r="J309" s="1">
        <v>384</v>
      </c>
      <c r="K309" s="1" t="s">
        <v>49</v>
      </c>
      <c r="L309" s="1" t="str">
        <f t="shared" si="9"/>
        <v>May</v>
      </c>
      <c r="M309" s="2">
        <f>(H309-_xlfn.XLOOKUP(D309,Product_Master!A:A,Product_Master!D:D))*G309</f>
        <v>96</v>
      </c>
      <c r="N309" s="13">
        <f t="shared" si="8"/>
        <v>0.25</v>
      </c>
      <c r="O309" s="16">
        <f>G309/Inventory!$G$2</f>
        <v>7.0175438596491224E-2</v>
      </c>
      <c r="P309"/>
      <c r="AA309"/>
      <c r="AB309"/>
      <c r="AC309"/>
    </row>
    <row r="310" spans="1:29">
      <c r="A310" s="1" t="s">
        <v>595</v>
      </c>
      <c r="B310" s="1" t="s">
        <v>596</v>
      </c>
      <c r="C310" s="1" t="s">
        <v>51</v>
      </c>
      <c r="D310" s="1" t="s">
        <v>157</v>
      </c>
      <c r="E310" s="1" t="s">
        <v>187</v>
      </c>
      <c r="F310" s="1" t="s">
        <v>7</v>
      </c>
      <c r="G310" s="1">
        <v>12</v>
      </c>
      <c r="H310" s="1">
        <v>61</v>
      </c>
      <c r="I310" s="1">
        <v>15</v>
      </c>
      <c r="J310" s="1">
        <v>622.20000000000005</v>
      </c>
      <c r="K310" s="1" t="s">
        <v>215</v>
      </c>
      <c r="L310" s="1" t="str">
        <f t="shared" si="9"/>
        <v>Jun</v>
      </c>
      <c r="M310" s="2">
        <f>(H310-_xlfn.XLOOKUP(D310,Product_Master!A:A,Product_Master!D:D))*G310</f>
        <v>612</v>
      </c>
      <c r="N310" s="13">
        <f t="shared" si="8"/>
        <v>0.98360655737704916</v>
      </c>
      <c r="O310" s="16">
        <f>G310/Inventory!$G$2</f>
        <v>0.21052631578947367</v>
      </c>
      <c r="P310"/>
      <c r="AA310"/>
      <c r="AB310"/>
      <c r="AC310"/>
    </row>
    <row r="311" spans="1:29">
      <c r="A311" s="1" t="s">
        <v>597</v>
      </c>
      <c r="B311" s="1" t="s">
        <v>112</v>
      </c>
      <c r="C311" s="1" t="s">
        <v>224</v>
      </c>
      <c r="D311" s="1" t="s">
        <v>161</v>
      </c>
      <c r="E311" s="1" t="s">
        <v>191</v>
      </c>
      <c r="F311" s="1" t="s">
        <v>147</v>
      </c>
      <c r="G311" s="1">
        <v>14</v>
      </c>
      <c r="H311" s="1">
        <v>144</v>
      </c>
      <c r="I311" s="1">
        <v>5</v>
      </c>
      <c r="J311" s="1">
        <v>1915.2</v>
      </c>
      <c r="K311" s="1" t="s">
        <v>215</v>
      </c>
      <c r="L311" s="1" t="str">
        <f t="shared" si="9"/>
        <v>Apr</v>
      </c>
      <c r="M311" s="2">
        <f>(H311-_xlfn.XLOOKUP(D311,Product_Master!A:A,Product_Master!D:D))*G311</f>
        <v>784</v>
      </c>
      <c r="N311" s="13">
        <f t="shared" si="8"/>
        <v>0.40935672514619881</v>
      </c>
      <c r="O311" s="16">
        <f>G311/Inventory!$G$2</f>
        <v>0.24561403508771928</v>
      </c>
      <c r="P311"/>
      <c r="AA311"/>
      <c r="AB311"/>
      <c r="AC311"/>
    </row>
    <row r="312" spans="1:29">
      <c r="A312" s="1" t="s">
        <v>598</v>
      </c>
      <c r="B312" s="1" t="s">
        <v>599</v>
      </c>
      <c r="C312" s="1" t="s">
        <v>211</v>
      </c>
      <c r="D312" s="1" t="s">
        <v>18</v>
      </c>
      <c r="E312" s="1" t="s">
        <v>19</v>
      </c>
      <c r="F312" s="1" t="s">
        <v>146</v>
      </c>
      <c r="G312" s="1">
        <v>12</v>
      </c>
      <c r="H312" s="1">
        <v>140</v>
      </c>
      <c r="I312" s="1">
        <v>10</v>
      </c>
      <c r="J312" s="1">
        <v>1512</v>
      </c>
      <c r="K312" s="1" t="s">
        <v>215</v>
      </c>
      <c r="L312" s="1" t="str">
        <f t="shared" si="9"/>
        <v>Apr</v>
      </c>
      <c r="M312" s="2">
        <f>(H312-_xlfn.XLOOKUP(D312,Product_Master!A:A,Product_Master!D:D))*G312</f>
        <v>1176</v>
      </c>
      <c r="N312" s="13">
        <f t="shared" si="8"/>
        <v>0.77777777777777779</v>
      </c>
      <c r="O312" s="16">
        <f>G312/Inventory!$G$2</f>
        <v>0.21052631578947367</v>
      </c>
      <c r="P312"/>
      <c r="AA312"/>
      <c r="AB312"/>
      <c r="AC312"/>
    </row>
    <row r="313" spans="1:29">
      <c r="A313" s="1" t="s">
        <v>600</v>
      </c>
      <c r="B313" s="1" t="s">
        <v>121</v>
      </c>
      <c r="C313" s="1" t="s">
        <v>222</v>
      </c>
      <c r="D313" s="1" t="s">
        <v>13</v>
      </c>
      <c r="E313" s="1" t="s">
        <v>14</v>
      </c>
      <c r="F313" s="1" t="s">
        <v>147</v>
      </c>
      <c r="G313" s="1">
        <v>8</v>
      </c>
      <c r="H313" s="1">
        <v>99</v>
      </c>
      <c r="I313" s="1">
        <v>0</v>
      </c>
      <c r="J313" s="1">
        <v>792</v>
      </c>
      <c r="K313" s="1" t="s">
        <v>76</v>
      </c>
      <c r="L313" s="1" t="str">
        <f t="shared" si="9"/>
        <v>Feb</v>
      </c>
      <c r="M313" s="2">
        <f>(H313-_xlfn.XLOOKUP(D313,Product_Master!A:A,Product_Master!D:D))*G313</f>
        <v>192</v>
      </c>
      <c r="N313" s="13">
        <f t="shared" si="8"/>
        <v>0.24242424242424243</v>
      </c>
      <c r="O313" s="16">
        <f>G313/Inventory!$G$2</f>
        <v>0.14035087719298245</v>
      </c>
      <c r="P313"/>
      <c r="AA313"/>
      <c r="AB313"/>
      <c r="AC313"/>
    </row>
    <row r="314" spans="1:29">
      <c r="A314" s="1" t="s">
        <v>601</v>
      </c>
      <c r="B314" s="1" t="s">
        <v>94</v>
      </c>
      <c r="C314" s="1" t="s">
        <v>48</v>
      </c>
      <c r="D314" s="1" t="s">
        <v>150</v>
      </c>
      <c r="E314" s="1" t="s">
        <v>180</v>
      </c>
      <c r="F314" s="1" t="s">
        <v>17</v>
      </c>
      <c r="G314" s="1">
        <v>15</v>
      </c>
      <c r="H314" s="1">
        <v>143</v>
      </c>
      <c r="I314" s="1">
        <v>10</v>
      </c>
      <c r="J314" s="1">
        <v>1930.5</v>
      </c>
      <c r="K314" s="1" t="s">
        <v>46</v>
      </c>
      <c r="L314" s="1" t="str">
        <f t="shared" si="9"/>
        <v>Mar</v>
      </c>
      <c r="M314" s="2">
        <f>(H314-_xlfn.XLOOKUP(D314,Product_Master!A:A,Product_Master!D:D))*G314</f>
        <v>630</v>
      </c>
      <c r="N314" s="13">
        <f t="shared" si="8"/>
        <v>0.32634032634032634</v>
      </c>
      <c r="O314" s="16">
        <f>G314/Inventory!$G$2</f>
        <v>0.26315789473684209</v>
      </c>
      <c r="P314"/>
      <c r="AA314"/>
      <c r="AB314"/>
      <c r="AC314"/>
    </row>
    <row r="315" spans="1:29">
      <c r="A315" s="1" t="s">
        <v>602</v>
      </c>
      <c r="B315" s="1" t="s">
        <v>603</v>
      </c>
      <c r="C315" s="1" t="s">
        <v>222</v>
      </c>
      <c r="D315" s="1" t="s">
        <v>175</v>
      </c>
      <c r="E315" s="1" t="s">
        <v>205</v>
      </c>
      <c r="F315" s="1" t="s">
        <v>10</v>
      </c>
      <c r="G315" s="1">
        <v>8</v>
      </c>
      <c r="H315" s="1">
        <v>113</v>
      </c>
      <c r="I315" s="1">
        <v>0</v>
      </c>
      <c r="J315" s="1">
        <v>904</v>
      </c>
      <c r="K315" s="1" t="s">
        <v>49</v>
      </c>
      <c r="L315" s="1" t="str">
        <f t="shared" si="9"/>
        <v>Jun</v>
      </c>
      <c r="M315" s="2">
        <f>(H315-_xlfn.XLOOKUP(D315,Product_Master!A:A,Product_Master!D:D))*G315</f>
        <v>400</v>
      </c>
      <c r="N315" s="13">
        <f t="shared" si="8"/>
        <v>0.44247787610619471</v>
      </c>
      <c r="O315" s="16">
        <f>G315/Inventory!$G$2</f>
        <v>0.14035087719298245</v>
      </c>
      <c r="P315"/>
      <c r="AA315"/>
      <c r="AB315"/>
      <c r="AC315"/>
    </row>
    <row r="316" spans="1:29">
      <c r="A316" s="1" t="s">
        <v>604</v>
      </c>
      <c r="B316" s="1" t="s">
        <v>605</v>
      </c>
      <c r="C316" s="1" t="s">
        <v>224</v>
      </c>
      <c r="D316" s="1" t="s">
        <v>170</v>
      </c>
      <c r="E316" s="1" t="s">
        <v>200</v>
      </c>
      <c r="F316" s="1" t="s">
        <v>17</v>
      </c>
      <c r="G316" s="1">
        <v>15</v>
      </c>
      <c r="H316" s="1">
        <v>52</v>
      </c>
      <c r="I316" s="1">
        <v>5</v>
      </c>
      <c r="J316" s="1">
        <v>741</v>
      </c>
      <c r="K316" s="1" t="s">
        <v>49</v>
      </c>
      <c r="L316" s="1" t="str">
        <f t="shared" si="9"/>
        <v>Feb</v>
      </c>
      <c r="M316" s="2">
        <f>(H316-_xlfn.XLOOKUP(D316,Product_Master!A:A,Product_Master!D:D))*G316</f>
        <v>585</v>
      </c>
      <c r="N316" s="13">
        <f t="shared" si="8"/>
        <v>0.78947368421052633</v>
      </c>
      <c r="O316" s="16">
        <f>G316/Inventory!$G$2</f>
        <v>0.26315789473684209</v>
      </c>
      <c r="P316"/>
      <c r="AA316"/>
      <c r="AB316"/>
      <c r="AC316"/>
    </row>
    <row r="317" spans="1:29">
      <c r="A317" s="1" t="s">
        <v>606</v>
      </c>
      <c r="B317" s="1" t="s">
        <v>132</v>
      </c>
      <c r="C317" s="1" t="s">
        <v>48</v>
      </c>
      <c r="D317" s="1" t="s">
        <v>22</v>
      </c>
      <c r="E317" s="1" t="s">
        <v>23</v>
      </c>
      <c r="F317" s="1" t="s">
        <v>10</v>
      </c>
      <c r="G317" s="1">
        <v>2</v>
      </c>
      <c r="H317" s="1">
        <v>76</v>
      </c>
      <c r="I317" s="1">
        <v>5</v>
      </c>
      <c r="J317" s="1">
        <v>144.4</v>
      </c>
      <c r="K317" s="1" t="s">
        <v>215</v>
      </c>
      <c r="L317" s="1" t="str">
        <f t="shared" si="9"/>
        <v>Mar</v>
      </c>
      <c r="M317" s="2">
        <f>(H317-_xlfn.XLOOKUP(D317,Product_Master!A:A,Product_Master!D:D))*G317</f>
        <v>60</v>
      </c>
      <c r="N317" s="13">
        <f t="shared" si="8"/>
        <v>0.41551246537396119</v>
      </c>
      <c r="O317" s="16">
        <f>G317/Inventory!$G$2</f>
        <v>3.5087719298245612E-2</v>
      </c>
      <c r="P317"/>
      <c r="AA317"/>
      <c r="AB317"/>
      <c r="AC317"/>
    </row>
    <row r="318" spans="1:29">
      <c r="A318" s="1" t="s">
        <v>607</v>
      </c>
      <c r="B318" s="1" t="s">
        <v>87</v>
      </c>
      <c r="C318" s="1" t="s">
        <v>222</v>
      </c>
      <c r="D318" s="1" t="s">
        <v>175</v>
      </c>
      <c r="E318" s="1" t="s">
        <v>205</v>
      </c>
      <c r="F318" s="1" t="s">
        <v>10</v>
      </c>
      <c r="G318" s="1">
        <v>3</v>
      </c>
      <c r="H318" s="1">
        <v>113</v>
      </c>
      <c r="I318" s="1">
        <v>15</v>
      </c>
      <c r="J318" s="1">
        <v>288.14999999999998</v>
      </c>
      <c r="K318" s="1" t="s">
        <v>235</v>
      </c>
      <c r="L318" s="1" t="str">
        <f t="shared" si="9"/>
        <v>Mar</v>
      </c>
      <c r="M318" s="2">
        <f>(H318-_xlfn.XLOOKUP(D318,Product_Master!A:A,Product_Master!D:D))*G318</f>
        <v>150</v>
      </c>
      <c r="N318" s="13">
        <f t="shared" si="8"/>
        <v>0.52056220718375845</v>
      </c>
      <c r="O318" s="16">
        <f>G318/Inventory!$G$2</f>
        <v>5.2631578947368418E-2</v>
      </c>
      <c r="P318"/>
      <c r="AA318"/>
      <c r="AB318"/>
      <c r="AC318"/>
    </row>
    <row r="319" spans="1:29">
      <c r="A319" s="1" t="s">
        <v>608</v>
      </c>
      <c r="B319" s="1" t="s">
        <v>519</v>
      </c>
      <c r="C319" s="1" t="s">
        <v>222</v>
      </c>
      <c r="D319" s="1" t="s">
        <v>157</v>
      </c>
      <c r="E319" s="1" t="s">
        <v>187</v>
      </c>
      <c r="F319" s="1" t="s">
        <v>7</v>
      </c>
      <c r="G319" s="1">
        <v>12</v>
      </c>
      <c r="H319" s="1">
        <v>61</v>
      </c>
      <c r="I319" s="1">
        <v>5</v>
      </c>
      <c r="J319" s="1">
        <v>695.4</v>
      </c>
      <c r="K319" s="1" t="s">
        <v>46</v>
      </c>
      <c r="L319" s="1" t="str">
        <f t="shared" si="9"/>
        <v>Jun</v>
      </c>
      <c r="M319" s="2">
        <f>(H319-_xlfn.XLOOKUP(D319,Product_Master!A:A,Product_Master!D:D))*G319</f>
        <v>612</v>
      </c>
      <c r="N319" s="13">
        <f t="shared" si="8"/>
        <v>0.88006902502157036</v>
      </c>
      <c r="O319" s="16">
        <f>G319/Inventory!$G$2</f>
        <v>0.21052631578947367</v>
      </c>
      <c r="P319"/>
      <c r="AA319"/>
      <c r="AB319"/>
      <c r="AC319"/>
    </row>
    <row r="320" spans="1:29">
      <c r="A320" s="1" t="s">
        <v>609</v>
      </c>
      <c r="B320" s="1" t="s">
        <v>104</v>
      </c>
      <c r="C320" s="1" t="s">
        <v>224</v>
      </c>
      <c r="D320" s="1" t="s">
        <v>176</v>
      </c>
      <c r="E320" s="1" t="s">
        <v>206</v>
      </c>
      <c r="F320" s="1" t="s">
        <v>146</v>
      </c>
      <c r="G320" s="1">
        <v>10</v>
      </c>
      <c r="H320" s="1">
        <v>181</v>
      </c>
      <c r="I320" s="1">
        <v>0</v>
      </c>
      <c r="J320" s="1">
        <v>1810</v>
      </c>
      <c r="K320" s="1" t="s">
        <v>76</v>
      </c>
      <c r="L320" s="1" t="str">
        <f t="shared" si="9"/>
        <v>Jan</v>
      </c>
      <c r="M320" s="2">
        <f>(H320-_xlfn.XLOOKUP(D320,Product_Master!A:A,Product_Master!D:D))*G320</f>
        <v>630</v>
      </c>
      <c r="N320" s="13">
        <f t="shared" si="8"/>
        <v>0.34806629834254144</v>
      </c>
      <c r="O320" s="16">
        <f>G320/Inventory!$G$2</f>
        <v>0.17543859649122806</v>
      </c>
      <c r="P320"/>
      <c r="AA320"/>
      <c r="AB320"/>
      <c r="AC320"/>
    </row>
    <row r="321" spans="1:29">
      <c r="A321" s="1" t="s">
        <v>610</v>
      </c>
      <c r="B321" s="1" t="s">
        <v>104</v>
      </c>
      <c r="C321" s="1" t="s">
        <v>48</v>
      </c>
      <c r="D321" s="1" t="s">
        <v>26</v>
      </c>
      <c r="E321" s="1" t="s">
        <v>27</v>
      </c>
      <c r="F321" s="1" t="s">
        <v>147</v>
      </c>
      <c r="G321" s="1">
        <v>6</v>
      </c>
      <c r="H321" s="1">
        <v>160</v>
      </c>
      <c r="I321" s="1">
        <v>15</v>
      </c>
      <c r="J321" s="1">
        <v>816</v>
      </c>
      <c r="K321" s="1" t="s">
        <v>215</v>
      </c>
      <c r="L321" s="1" t="str">
        <f t="shared" si="9"/>
        <v>Jan</v>
      </c>
      <c r="M321" s="2">
        <f>(H321-_xlfn.XLOOKUP(D321,Product_Master!A:A,Product_Master!D:D))*G321</f>
        <v>396</v>
      </c>
      <c r="N321" s="13">
        <f t="shared" si="8"/>
        <v>0.48529411764705882</v>
      </c>
      <c r="O321" s="16">
        <f>G321/Inventory!$G$2</f>
        <v>0.10526315789473684</v>
      </c>
      <c r="P321"/>
      <c r="AA321"/>
      <c r="AB321"/>
      <c r="AC321"/>
    </row>
    <row r="322" spans="1:29">
      <c r="A322" s="1" t="s">
        <v>611</v>
      </c>
      <c r="B322" s="1" t="s">
        <v>612</v>
      </c>
      <c r="C322" s="1" t="s">
        <v>51</v>
      </c>
      <c r="D322" s="1" t="s">
        <v>148</v>
      </c>
      <c r="E322" s="1" t="s">
        <v>178</v>
      </c>
      <c r="F322" s="1" t="s">
        <v>147</v>
      </c>
      <c r="G322" s="1">
        <v>3</v>
      </c>
      <c r="H322" s="1">
        <v>90</v>
      </c>
      <c r="I322" s="1">
        <v>15</v>
      </c>
      <c r="J322" s="1">
        <v>229.5</v>
      </c>
      <c r="K322" s="1" t="s">
        <v>76</v>
      </c>
      <c r="L322" s="1" t="str">
        <f t="shared" si="9"/>
        <v>Mar</v>
      </c>
      <c r="M322" s="2">
        <f>(H322-_xlfn.XLOOKUP(D322,Product_Master!A:A,Product_Master!D:D))*G322</f>
        <v>93</v>
      </c>
      <c r="N322" s="13">
        <f t="shared" si="8"/>
        <v>0.40522875816993464</v>
      </c>
      <c r="O322" s="16">
        <f>G322/Inventory!$G$2</f>
        <v>5.2631578947368418E-2</v>
      </c>
      <c r="P322"/>
      <c r="AA322"/>
      <c r="AB322"/>
      <c r="AC322"/>
    </row>
    <row r="323" spans="1:29">
      <c r="A323" s="1" t="s">
        <v>613</v>
      </c>
      <c r="B323" s="1" t="s">
        <v>383</v>
      </c>
      <c r="C323" s="1" t="s">
        <v>65</v>
      </c>
      <c r="D323" s="1" t="s">
        <v>173</v>
      </c>
      <c r="E323" s="1" t="s">
        <v>203</v>
      </c>
      <c r="F323" s="1" t="s">
        <v>17</v>
      </c>
      <c r="G323" s="1">
        <v>8</v>
      </c>
      <c r="H323" s="1">
        <v>139</v>
      </c>
      <c r="I323" s="1">
        <v>15</v>
      </c>
      <c r="J323" s="1">
        <v>945.2</v>
      </c>
      <c r="K323" s="1" t="s">
        <v>46</v>
      </c>
      <c r="L323" s="1" t="str">
        <f t="shared" si="9"/>
        <v>Jun</v>
      </c>
      <c r="M323" s="2">
        <f>(H323-_xlfn.XLOOKUP(D323,Product_Master!A:A,Product_Master!D:D))*G323</f>
        <v>560</v>
      </c>
      <c r="N323" s="13">
        <f t="shared" ref="N323:N386" si="10">M323/J323</f>
        <v>0.59246720270842146</v>
      </c>
      <c r="O323" s="16">
        <f>G323/Inventory!$G$2</f>
        <v>0.14035087719298245</v>
      </c>
      <c r="P323"/>
      <c r="AA323"/>
      <c r="AB323"/>
      <c r="AC323"/>
    </row>
    <row r="324" spans="1:29">
      <c r="A324" s="1" t="s">
        <v>614</v>
      </c>
      <c r="B324" s="1" t="s">
        <v>458</v>
      </c>
      <c r="C324" s="1" t="s">
        <v>57</v>
      </c>
      <c r="D324" s="1" t="s">
        <v>161</v>
      </c>
      <c r="E324" s="1" t="s">
        <v>191</v>
      </c>
      <c r="F324" s="1" t="s">
        <v>147</v>
      </c>
      <c r="G324" s="1">
        <v>8</v>
      </c>
      <c r="H324" s="1">
        <v>144</v>
      </c>
      <c r="I324" s="1">
        <v>5</v>
      </c>
      <c r="J324" s="1">
        <v>1094.4000000000001</v>
      </c>
      <c r="K324" s="1" t="s">
        <v>235</v>
      </c>
      <c r="L324" s="1" t="str">
        <f t="shared" ref="L324:L387" si="11">TEXT(B324,"mmm")</f>
        <v>May</v>
      </c>
      <c r="M324" s="2">
        <f>(H324-_xlfn.XLOOKUP(D324,Product_Master!A:A,Product_Master!D:D))*G324</f>
        <v>448</v>
      </c>
      <c r="N324" s="13">
        <f t="shared" si="10"/>
        <v>0.40935672514619881</v>
      </c>
      <c r="O324" s="16">
        <f>G324/Inventory!$G$2</f>
        <v>0.14035087719298245</v>
      </c>
      <c r="P324"/>
      <c r="AA324"/>
      <c r="AB324"/>
      <c r="AC324"/>
    </row>
    <row r="325" spans="1:29">
      <c r="A325" s="1" t="s">
        <v>615</v>
      </c>
      <c r="B325" s="1" t="s">
        <v>119</v>
      </c>
      <c r="C325" s="1" t="s">
        <v>72</v>
      </c>
      <c r="D325" s="1" t="s">
        <v>150</v>
      </c>
      <c r="E325" s="1" t="s">
        <v>180</v>
      </c>
      <c r="F325" s="1" t="s">
        <v>17</v>
      </c>
      <c r="G325" s="1">
        <v>6</v>
      </c>
      <c r="H325" s="1">
        <v>143</v>
      </c>
      <c r="I325" s="1">
        <v>10</v>
      </c>
      <c r="J325" s="1">
        <v>772.2</v>
      </c>
      <c r="K325" s="1" t="s">
        <v>55</v>
      </c>
      <c r="L325" s="1" t="str">
        <f t="shared" si="11"/>
        <v>Feb</v>
      </c>
      <c r="M325" s="2">
        <f>(H325-_xlfn.XLOOKUP(D325,Product_Master!A:A,Product_Master!D:D))*G325</f>
        <v>252</v>
      </c>
      <c r="N325" s="13">
        <f t="shared" si="10"/>
        <v>0.32634032634032634</v>
      </c>
      <c r="O325" s="16">
        <f>G325/Inventory!$G$2</f>
        <v>0.10526315789473684</v>
      </c>
      <c r="P325"/>
      <c r="AA325"/>
      <c r="AB325"/>
      <c r="AC325"/>
    </row>
    <row r="326" spans="1:29">
      <c r="A326" s="1" t="s">
        <v>616</v>
      </c>
      <c r="B326" s="1" t="s">
        <v>274</v>
      </c>
      <c r="C326" s="1" t="s">
        <v>72</v>
      </c>
      <c r="D326" s="1" t="s">
        <v>169</v>
      </c>
      <c r="E326" s="1" t="s">
        <v>199</v>
      </c>
      <c r="F326" s="1" t="s">
        <v>10</v>
      </c>
      <c r="G326" s="1">
        <v>12</v>
      </c>
      <c r="H326" s="1">
        <v>130</v>
      </c>
      <c r="I326" s="1">
        <v>5</v>
      </c>
      <c r="J326" s="1">
        <v>1482</v>
      </c>
      <c r="K326" s="1" t="s">
        <v>46</v>
      </c>
      <c r="L326" s="1" t="str">
        <f t="shared" si="11"/>
        <v>May</v>
      </c>
      <c r="M326" s="2">
        <f>(H326-_xlfn.XLOOKUP(D326,Product_Master!A:A,Product_Master!D:D))*G326</f>
        <v>540</v>
      </c>
      <c r="N326" s="13">
        <f t="shared" si="10"/>
        <v>0.36437246963562753</v>
      </c>
      <c r="O326" s="16">
        <f>G326/Inventory!$G$2</f>
        <v>0.21052631578947367</v>
      </c>
      <c r="P326"/>
      <c r="AA326"/>
      <c r="AB326"/>
      <c r="AC326"/>
    </row>
    <row r="327" spans="1:29">
      <c r="A327" s="1" t="s">
        <v>617</v>
      </c>
      <c r="B327" s="1" t="s">
        <v>47</v>
      </c>
      <c r="C327" s="1" t="s">
        <v>222</v>
      </c>
      <c r="D327" s="1" t="s">
        <v>166</v>
      </c>
      <c r="E327" s="1" t="s">
        <v>196</v>
      </c>
      <c r="F327" s="1" t="s">
        <v>7</v>
      </c>
      <c r="G327" s="1">
        <v>14</v>
      </c>
      <c r="H327" s="1">
        <v>100</v>
      </c>
      <c r="I327" s="1">
        <v>0</v>
      </c>
      <c r="J327" s="1">
        <v>1400</v>
      </c>
      <c r="K327" s="1" t="s">
        <v>76</v>
      </c>
      <c r="L327" s="1" t="str">
        <f t="shared" si="11"/>
        <v>Jan</v>
      </c>
      <c r="M327" s="2">
        <f>(H327-_xlfn.XLOOKUP(D327,Product_Master!A:A,Product_Master!D:D))*G327</f>
        <v>308</v>
      </c>
      <c r="N327" s="13">
        <f t="shared" si="10"/>
        <v>0.22</v>
      </c>
      <c r="O327" s="16">
        <f>G327/Inventory!$G$2</f>
        <v>0.24561403508771928</v>
      </c>
      <c r="P327"/>
      <c r="AA327"/>
      <c r="AB327"/>
      <c r="AC327"/>
    </row>
    <row r="328" spans="1:29">
      <c r="A328" s="1" t="s">
        <v>618</v>
      </c>
      <c r="B328" s="1" t="s">
        <v>229</v>
      </c>
      <c r="C328" s="1" t="s">
        <v>72</v>
      </c>
      <c r="D328" s="1" t="s">
        <v>8</v>
      </c>
      <c r="E328" s="1" t="s">
        <v>9</v>
      </c>
      <c r="F328" s="1" t="s">
        <v>10</v>
      </c>
      <c r="G328" s="1">
        <v>1</v>
      </c>
      <c r="H328" s="1">
        <v>146</v>
      </c>
      <c r="I328" s="1">
        <v>5</v>
      </c>
      <c r="J328" s="1">
        <v>138.69999999999999</v>
      </c>
      <c r="K328" s="1" t="s">
        <v>49</v>
      </c>
      <c r="L328" s="1" t="str">
        <f t="shared" si="11"/>
        <v>Apr</v>
      </c>
      <c r="M328" s="2">
        <f>(H328-_xlfn.XLOOKUP(D328,Product_Master!A:A,Product_Master!D:D))*G328</f>
        <v>50</v>
      </c>
      <c r="N328" s="13">
        <f t="shared" si="10"/>
        <v>0.36049026676279744</v>
      </c>
      <c r="O328" s="16">
        <f>G328/Inventory!$G$2</f>
        <v>1.7543859649122806E-2</v>
      </c>
      <c r="P328"/>
      <c r="AA328"/>
      <c r="AB328"/>
      <c r="AC328"/>
    </row>
    <row r="329" spans="1:29">
      <c r="A329" s="1" t="s">
        <v>619</v>
      </c>
      <c r="B329" s="1" t="s">
        <v>138</v>
      </c>
      <c r="C329" s="1" t="s">
        <v>45</v>
      </c>
      <c r="D329" s="1" t="s">
        <v>174</v>
      </c>
      <c r="E329" s="1" t="s">
        <v>204</v>
      </c>
      <c r="F329" s="1" t="s">
        <v>7</v>
      </c>
      <c r="G329" s="1">
        <v>8</v>
      </c>
      <c r="H329" s="1">
        <v>160</v>
      </c>
      <c r="I329" s="1">
        <v>10</v>
      </c>
      <c r="J329" s="1">
        <v>1152</v>
      </c>
      <c r="K329" s="1" t="s">
        <v>49</v>
      </c>
      <c r="L329" s="1" t="str">
        <f t="shared" si="11"/>
        <v>Apr</v>
      </c>
      <c r="M329" s="2">
        <f>(H329-_xlfn.XLOOKUP(D329,Product_Master!A:A,Product_Master!D:D))*G329</f>
        <v>440</v>
      </c>
      <c r="N329" s="13">
        <f t="shared" si="10"/>
        <v>0.38194444444444442</v>
      </c>
      <c r="O329" s="16">
        <f>G329/Inventory!$G$2</f>
        <v>0.14035087719298245</v>
      </c>
      <c r="P329"/>
      <c r="AA329"/>
      <c r="AB329"/>
      <c r="AC329"/>
    </row>
    <row r="330" spans="1:29">
      <c r="A330" s="1" t="s">
        <v>620</v>
      </c>
      <c r="B330" s="1" t="s">
        <v>451</v>
      </c>
      <c r="C330" s="1" t="s">
        <v>65</v>
      </c>
      <c r="D330" s="1" t="s">
        <v>13</v>
      </c>
      <c r="E330" s="1" t="s">
        <v>14</v>
      </c>
      <c r="F330" s="1" t="s">
        <v>147</v>
      </c>
      <c r="G330" s="1">
        <v>8</v>
      </c>
      <c r="H330" s="1">
        <v>99</v>
      </c>
      <c r="I330" s="1">
        <v>0</v>
      </c>
      <c r="J330" s="1">
        <v>792</v>
      </c>
      <c r="K330" s="1" t="s">
        <v>235</v>
      </c>
      <c r="L330" s="1" t="str">
        <f t="shared" si="11"/>
        <v>May</v>
      </c>
      <c r="M330" s="2">
        <f>(H330-_xlfn.XLOOKUP(D330,Product_Master!A:A,Product_Master!D:D))*G330</f>
        <v>192</v>
      </c>
      <c r="N330" s="13">
        <f t="shared" si="10"/>
        <v>0.24242424242424243</v>
      </c>
      <c r="O330" s="16">
        <f>G330/Inventory!$G$2</f>
        <v>0.14035087719298245</v>
      </c>
      <c r="P330"/>
      <c r="AA330"/>
      <c r="AB330"/>
      <c r="AC330"/>
    </row>
    <row r="331" spans="1:29">
      <c r="A331" s="1" t="s">
        <v>621</v>
      </c>
      <c r="B331" s="1" t="s">
        <v>89</v>
      </c>
      <c r="C331" s="1" t="s">
        <v>224</v>
      </c>
      <c r="D331" s="1" t="s">
        <v>155</v>
      </c>
      <c r="E331" s="1" t="s">
        <v>185</v>
      </c>
      <c r="F331" s="1" t="s">
        <v>7</v>
      </c>
      <c r="G331" s="1">
        <v>13</v>
      </c>
      <c r="H331" s="1">
        <v>156</v>
      </c>
      <c r="I331" s="1">
        <v>5</v>
      </c>
      <c r="J331" s="1">
        <v>1926.6</v>
      </c>
      <c r="K331" s="1" t="s">
        <v>76</v>
      </c>
      <c r="L331" s="1" t="str">
        <f t="shared" si="11"/>
        <v>Mar</v>
      </c>
      <c r="M331" s="2">
        <f>(H331-_xlfn.XLOOKUP(D331,Product_Master!A:A,Product_Master!D:D))*G331</f>
        <v>819</v>
      </c>
      <c r="N331" s="13">
        <f t="shared" si="10"/>
        <v>0.4251012145748988</v>
      </c>
      <c r="O331" s="16">
        <f>G331/Inventory!$G$2</f>
        <v>0.22807017543859648</v>
      </c>
      <c r="P331"/>
      <c r="AA331"/>
      <c r="AB331"/>
      <c r="AC331"/>
    </row>
    <row r="332" spans="1:29">
      <c r="A332" s="1" t="s">
        <v>622</v>
      </c>
      <c r="B332" s="1" t="s">
        <v>143</v>
      </c>
      <c r="C332" s="1" t="s">
        <v>72</v>
      </c>
      <c r="D332" s="1" t="s">
        <v>158</v>
      </c>
      <c r="E332" s="1" t="s">
        <v>188</v>
      </c>
      <c r="F332" s="1" t="s">
        <v>10</v>
      </c>
      <c r="G332" s="1">
        <v>5</v>
      </c>
      <c r="H332" s="1">
        <v>65</v>
      </c>
      <c r="I332" s="1">
        <v>5</v>
      </c>
      <c r="J332" s="1">
        <v>308.75</v>
      </c>
      <c r="K332" s="1" t="s">
        <v>215</v>
      </c>
      <c r="L332" s="1" t="str">
        <f t="shared" si="11"/>
        <v>Feb</v>
      </c>
      <c r="M332" s="2">
        <f>(H332-_xlfn.XLOOKUP(D332,Product_Master!A:A,Product_Master!D:D))*G332</f>
        <v>110</v>
      </c>
      <c r="N332" s="13">
        <f t="shared" si="10"/>
        <v>0.35627530364372467</v>
      </c>
      <c r="O332" s="16">
        <f>G332/Inventory!$G$2</f>
        <v>8.771929824561403E-2</v>
      </c>
      <c r="P332"/>
      <c r="AA332"/>
      <c r="AB332"/>
      <c r="AC332"/>
    </row>
    <row r="333" spans="1:29">
      <c r="A333" s="1" t="s">
        <v>623</v>
      </c>
      <c r="B333" s="1" t="s">
        <v>52</v>
      </c>
      <c r="C333" s="1" t="s">
        <v>57</v>
      </c>
      <c r="D333" s="1" t="s">
        <v>163</v>
      </c>
      <c r="E333" s="1" t="s">
        <v>193</v>
      </c>
      <c r="F333" s="1" t="s">
        <v>146</v>
      </c>
      <c r="G333" s="1">
        <v>7</v>
      </c>
      <c r="H333" s="1">
        <v>82</v>
      </c>
      <c r="I333" s="1">
        <v>15</v>
      </c>
      <c r="J333" s="1">
        <v>487.9</v>
      </c>
      <c r="K333" s="1" t="s">
        <v>235</v>
      </c>
      <c r="L333" s="1" t="str">
        <f t="shared" si="11"/>
        <v>Apr</v>
      </c>
      <c r="M333" s="2">
        <f>(H333-_xlfn.XLOOKUP(D333,Product_Master!A:A,Product_Master!D:D))*G333</f>
        <v>280</v>
      </c>
      <c r="N333" s="13">
        <f t="shared" si="10"/>
        <v>0.57388809182209477</v>
      </c>
      <c r="O333" s="16">
        <f>G333/Inventory!$G$2</f>
        <v>0.12280701754385964</v>
      </c>
      <c r="P333"/>
      <c r="AA333"/>
      <c r="AB333"/>
      <c r="AC333"/>
    </row>
    <row r="334" spans="1:29">
      <c r="A334" s="1" t="s">
        <v>624</v>
      </c>
      <c r="B334" s="1" t="s">
        <v>107</v>
      </c>
      <c r="C334" s="1" t="s">
        <v>259</v>
      </c>
      <c r="D334" s="1" t="s">
        <v>13</v>
      </c>
      <c r="E334" s="1" t="s">
        <v>14</v>
      </c>
      <c r="F334" s="1" t="s">
        <v>147</v>
      </c>
      <c r="G334" s="1">
        <v>9</v>
      </c>
      <c r="H334" s="1">
        <v>99</v>
      </c>
      <c r="I334" s="1">
        <v>5</v>
      </c>
      <c r="J334" s="1">
        <v>846.45</v>
      </c>
      <c r="K334" s="1" t="s">
        <v>235</v>
      </c>
      <c r="L334" s="1" t="str">
        <f t="shared" si="11"/>
        <v>Jan</v>
      </c>
      <c r="M334" s="2">
        <f>(H334-_xlfn.XLOOKUP(D334,Product_Master!A:A,Product_Master!D:D))*G334</f>
        <v>216</v>
      </c>
      <c r="N334" s="13">
        <f t="shared" si="10"/>
        <v>0.2551834130781499</v>
      </c>
      <c r="O334" s="16">
        <f>G334/Inventory!$G$2</f>
        <v>0.15789473684210525</v>
      </c>
      <c r="P334"/>
      <c r="AA334"/>
      <c r="AB334"/>
      <c r="AC334"/>
    </row>
    <row r="335" spans="1:29">
      <c r="A335" s="1" t="s">
        <v>625</v>
      </c>
      <c r="B335" s="1" t="s">
        <v>298</v>
      </c>
      <c r="C335" s="1" t="s">
        <v>51</v>
      </c>
      <c r="D335" s="1" t="s">
        <v>26</v>
      </c>
      <c r="E335" s="1" t="s">
        <v>27</v>
      </c>
      <c r="F335" s="1" t="s">
        <v>147</v>
      </c>
      <c r="G335" s="1">
        <v>12</v>
      </c>
      <c r="H335" s="1">
        <v>160</v>
      </c>
      <c r="I335" s="1">
        <v>15</v>
      </c>
      <c r="J335" s="1">
        <v>1632</v>
      </c>
      <c r="K335" s="1" t="s">
        <v>46</v>
      </c>
      <c r="L335" s="1" t="str">
        <f t="shared" si="11"/>
        <v>Jun</v>
      </c>
      <c r="M335" s="2">
        <f>(H335-_xlfn.XLOOKUP(D335,Product_Master!A:A,Product_Master!D:D))*G335</f>
        <v>792</v>
      </c>
      <c r="N335" s="13">
        <f t="shared" si="10"/>
        <v>0.48529411764705882</v>
      </c>
      <c r="O335" s="16">
        <f>G335/Inventory!$G$2</f>
        <v>0.21052631578947367</v>
      </c>
      <c r="P335"/>
      <c r="AA335"/>
      <c r="AB335"/>
      <c r="AC335"/>
    </row>
    <row r="336" spans="1:29">
      <c r="A336" s="1" t="s">
        <v>626</v>
      </c>
      <c r="B336" s="1" t="s">
        <v>82</v>
      </c>
      <c r="C336" s="1" t="s">
        <v>224</v>
      </c>
      <c r="D336" s="1" t="s">
        <v>11</v>
      </c>
      <c r="E336" s="1" t="s">
        <v>12</v>
      </c>
      <c r="F336" s="1" t="s">
        <v>147</v>
      </c>
      <c r="G336" s="1">
        <v>3</v>
      </c>
      <c r="H336" s="1">
        <v>86</v>
      </c>
      <c r="I336" s="1">
        <v>5</v>
      </c>
      <c r="J336" s="1">
        <v>245.1</v>
      </c>
      <c r="K336" s="1" t="s">
        <v>215</v>
      </c>
      <c r="L336" s="1" t="str">
        <f t="shared" si="11"/>
        <v>Jan</v>
      </c>
      <c r="M336" s="2">
        <f>(H336-_xlfn.XLOOKUP(D336,Product_Master!A:A,Product_Master!D:D))*G336</f>
        <v>60</v>
      </c>
      <c r="N336" s="13">
        <f t="shared" si="10"/>
        <v>0.24479804161566707</v>
      </c>
      <c r="O336" s="16">
        <f>G336/Inventory!$G$2</f>
        <v>5.2631578947368418E-2</v>
      </c>
      <c r="P336"/>
      <c r="AA336"/>
      <c r="AB336"/>
      <c r="AC336"/>
    </row>
    <row r="337" spans="1:29">
      <c r="A337" s="1" t="s">
        <v>627</v>
      </c>
      <c r="B337" s="1" t="s">
        <v>440</v>
      </c>
      <c r="C337" s="1" t="s">
        <v>65</v>
      </c>
      <c r="D337" s="1" t="s">
        <v>13</v>
      </c>
      <c r="E337" s="1" t="s">
        <v>14</v>
      </c>
      <c r="F337" s="1" t="s">
        <v>147</v>
      </c>
      <c r="G337" s="1">
        <v>11</v>
      </c>
      <c r="H337" s="1">
        <v>99</v>
      </c>
      <c r="I337" s="1">
        <v>10</v>
      </c>
      <c r="J337" s="1">
        <v>980.1</v>
      </c>
      <c r="K337" s="1" t="s">
        <v>235</v>
      </c>
      <c r="L337" s="1" t="str">
        <f t="shared" si="11"/>
        <v>Jun</v>
      </c>
      <c r="M337" s="2">
        <f>(H337-_xlfn.XLOOKUP(D337,Product_Master!A:A,Product_Master!D:D))*G337</f>
        <v>264</v>
      </c>
      <c r="N337" s="13">
        <f t="shared" si="10"/>
        <v>0.26936026936026936</v>
      </c>
      <c r="O337" s="16">
        <f>G337/Inventory!$G$2</f>
        <v>0.19298245614035087</v>
      </c>
      <c r="P337"/>
      <c r="AA337"/>
      <c r="AB337"/>
      <c r="AC337"/>
    </row>
    <row r="338" spans="1:29">
      <c r="A338" s="1" t="s">
        <v>628</v>
      </c>
      <c r="B338" s="1" t="s">
        <v>101</v>
      </c>
      <c r="C338" s="1" t="s">
        <v>69</v>
      </c>
      <c r="D338" s="1" t="s">
        <v>148</v>
      </c>
      <c r="E338" s="1" t="s">
        <v>178</v>
      </c>
      <c r="F338" s="1" t="s">
        <v>147</v>
      </c>
      <c r="G338" s="1">
        <v>10</v>
      </c>
      <c r="H338" s="1">
        <v>90</v>
      </c>
      <c r="I338" s="1">
        <v>0</v>
      </c>
      <c r="J338" s="1">
        <v>900</v>
      </c>
      <c r="K338" s="1" t="s">
        <v>46</v>
      </c>
      <c r="L338" s="1" t="str">
        <f t="shared" si="11"/>
        <v>Jan</v>
      </c>
      <c r="M338" s="2">
        <f>(H338-_xlfn.XLOOKUP(D338,Product_Master!A:A,Product_Master!D:D))*G338</f>
        <v>310</v>
      </c>
      <c r="N338" s="13">
        <f t="shared" si="10"/>
        <v>0.34444444444444444</v>
      </c>
      <c r="O338" s="16">
        <f>G338/Inventory!$G$2</f>
        <v>0.17543859649122806</v>
      </c>
      <c r="P338"/>
      <c r="AA338"/>
      <c r="AB338"/>
      <c r="AC338"/>
    </row>
    <row r="339" spans="1:29">
      <c r="A339" s="1" t="s">
        <v>629</v>
      </c>
      <c r="B339" s="1" t="s">
        <v>81</v>
      </c>
      <c r="C339" s="1" t="s">
        <v>45</v>
      </c>
      <c r="D339" s="1" t="s">
        <v>148</v>
      </c>
      <c r="E339" s="1" t="s">
        <v>178</v>
      </c>
      <c r="F339" s="1" t="s">
        <v>147</v>
      </c>
      <c r="G339" s="1">
        <v>15</v>
      </c>
      <c r="H339" s="1">
        <v>90</v>
      </c>
      <c r="I339" s="1">
        <v>15</v>
      </c>
      <c r="J339" s="1">
        <v>1147.5</v>
      </c>
      <c r="K339" s="1" t="s">
        <v>215</v>
      </c>
      <c r="L339" s="1" t="str">
        <f t="shared" si="11"/>
        <v>Apr</v>
      </c>
      <c r="M339" s="2">
        <f>(H339-_xlfn.XLOOKUP(D339,Product_Master!A:A,Product_Master!D:D))*G339</f>
        <v>465</v>
      </c>
      <c r="N339" s="13">
        <f t="shared" si="10"/>
        <v>0.40522875816993464</v>
      </c>
      <c r="O339" s="16">
        <f>G339/Inventory!$G$2</f>
        <v>0.26315789473684209</v>
      </c>
      <c r="P339"/>
      <c r="AA339"/>
      <c r="AB339"/>
      <c r="AC339"/>
    </row>
    <row r="340" spans="1:29">
      <c r="A340" s="1" t="s">
        <v>630</v>
      </c>
      <c r="B340" s="1" t="s">
        <v>61</v>
      </c>
      <c r="C340" s="1" t="s">
        <v>224</v>
      </c>
      <c r="D340" s="1" t="s">
        <v>165</v>
      </c>
      <c r="E340" s="1" t="s">
        <v>195</v>
      </c>
      <c r="F340" s="1" t="s">
        <v>147</v>
      </c>
      <c r="G340" s="1">
        <v>12</v>
      </c>
      <c r="H340" s="1">
        <v>109</v>
      </c>
      <c r="I340" s="1">
        <v>15</v>
      </c>
      <c r="J340" s="1">
        <v>1111.8</v>
      </c>
      <c r="K340" s="1" t="s">
        <v>49</v>
      </c>
      <c r="L340" s="1" t="str">
        <f t="shared" si="11"/>
        <v>Jan</v>
      </c>
      <c r="M340" s="2">
        <f>(H340-_xlfn.XLOOKUP(D340,Product_Master!A:A,Product_Master!D:D))*G340</f>
        <v>660</v>
      </c>
      <c r="N340" s="13">
        <f t="shared" si="10"/>
        <v>0.59363194819212095</v>
      </c>
      <c r="O340" s="16">
        <f>G340/Inventory!$G$2</f>
        <v>0.21052631578947367</v>
      </c>
      <c r="P340"/>
      <c r="AA340"/>
      <c r="AB340"/>
      <c r="AC340"/>
    </row>
    <row r="341" spans="1:29">
      <c r="A341" s="1" t="s">
        <v>631</v>
      </c>
      <c r="B341" s="1" t="s">
        <v>612</v>
      </c>
      <c r="C341" s="1" t="s">
        <v>48</v>
      </c>
      <c r="D341" s="1" t="s">
        <v>11</v>
      </c>
      <c r="E341" s="1" t="s">
        <v>12</v>
      </c>
      <c r="F341" s="1" t="s">
        <v>147</v>
      </c>
      <c r="G341" s="1">
        <v>11</v>
      </c>
      <c r="H341" s="1">
        <v>86</v>
      </c>
      <c r="I341" s="1">
        <v>0</v>
      </c>
      <c r="J341" s="1">
        <v>946</v>
      </c>
      <c r="K341" s="1" t="s">
        <v>76</v>
      </c>
      <c r="L341" s="1" t="str">
        <f t="shared" si="11"/>
        <v>Mar</v>
      </c>
      <c r="M341" s="2">
        <f>(H341-_xlfn.XLOOKUP(D341,Product_Master!A:A,Product_Master!D:D))*G341</f>
        <v>220</v>
      </c>
      <c r="N341" s="13">
        <f t="shared" si="10"/>
        <v>0.23255813953488372</v>
      </c>
      <c r="O341" s="16">
        <f>G341/Inventory!$G$2</f>
        <v>0.19298245614035087</v>
      </c>
      <c r="P341"/>
      <c r="AA341"/>
      <c r="AB341"/>
      <c r="AC341"/>
    </row>
    <row r="342" spans="1:29">
      <c r="A342" s="1" t="s">
        <v>632</v>
      </c>
      <c r="B342" s="1" t="s">
        <v>489</v>
      </c>
      <c r="C342" s="1" t="s">
        <v>54</v>
      </c>
      <c r="D342" s="1" t="s">
        <v>11</v>
      </c>
      <c r="E342" s="1" t="s">
        <v>12</v>
      </c>
      <c r="F342" s="1" t="s">
        <v>147</v>
      </c>
      <c r="G342" s="1">
        <v>1</v>
      </c>
      <c r="H342" s="1">
        <v>86</v>
      </c>
      <c r="I342" s="1">
        <v>10</v>
      </c>
      <c r="J342" s="1">
        <v>77.400000000000006</v>
      </c>
      <c r="K342" s="1" t="s">
        <v>49</v>
      </c>
      <c r="L342" s="1" t="str">
        <f t="shared" si="11"/>
        <v>May</v>
      </c>
      <c r="M342" s="2">
        <f>(H342-_xlfn.XLOOKUP(D342,Product_Master!A:A,Product_Master!D:D))*G342</f>
        <v>20</v>
      </c>
      <c r="N342" s="13">
        <f t="shared" si="10"/>
        <v>0.25839793281653745</v>
      </c>
      <c r="O342" s="16">
        <f>G342/Inventory!$G$2</f>
        <v>1.7543859649122806E-2</v>
      </c>
      <c r="P342"/>
      <c r="AA342"/>
      <c r="AB342"/>
      <c r="AC342"/>
    </row>
    <row r="343" spans="1:29">
      <c r="A343" s="1" t="s">
        <v>633</v>
      </c>
      <c r="B343" s="1" t="s">
        <v>326</v>
      </c>
      <c r="C343" s="1" t="s">
        <v>54</v>
      </c>
      <c r="D343" s="1" t="s">
        <v>151</v>
      </c>
      <c r="E343" s="1" t="s">
        <v>181</v>
      </c>
      <c r="F343" s="1" t="s">
        <v>7</v>
      </c>
      <c r="G343" s="1">
        <v>6</v>
      </c>
      <c r="H343" s="1">
        <v>96</v>
      </c>
      <c r="I343" s="1">
        <v>10</v>
      </c>
      <c r="J343" s="1">
        <v>518.4</v>
      </c>
      <c r="K343" s="1" t="s">
        <v>235</v>
      </c>
      <c r="L343" s="1" t="str">
        <f t="shared" si="11"/>
        <v>Jun</v>
      </c>
      <c r="M343" s="2">
        <f>(H343-_xlfn.XLOOKUP(D343,Product_Master!A:A,Product_Master!D:D))*G343</f>
        <v>456</v>
      </c>
      <c r="N343" s="13">
        <f t="shared" si="10"/>
        <v>0.87962962962962965</v>
      </c>
      <c r="O343" s="16">
        <f>G343/Inventory!$G$2</f>
        <v>0.10526315789473684</v>
      </c>
      <c r="P343"/>
      <c r="AA343"/>
      <c r="AB343"/>
      <c r="AC343"/>
    </row>
    <row r="344" spans="1:29">
      <c r="A344" s="1" t="s">
        <v>634</v>
      </c>
      <c r="B344" s="1" t="s">
        <v>210</v>
      </c>
      <c r="C344" s="1" t="s">
        <v>51</v>
      </c>
      <c r="D344" s="1" t="s">
        <v>156</v>
      </c>
      <c r="E344" s="1" t="s">
        <v>186</v>
      </c>
      <c r="F344" s="1" t="s">
        <v>147</v>
      </c>
      <c r="G344" s="1">
        <v>12</v>
      </c>
      <c r="H344" s="1">
        <v>95</v>
      </c>
      <c r="I344" s="1">
        <v>10</v>
      </c>
      <c r="J344" s="1">
        <v>1026</v>
      </c>
      <c r="K344" s="1" t="s">
        <v>49</v>
      </c>
      <c r="L344" s="1" t="str">
        <f t="shared" si="11"/>
        <v>Jun</v>
      </c>
      <c r="M344" s="2">
        <f>(H344-_xlfn.XLOOKUP(D344,Product_Master!A:A,Product_Master!D:D))*G344</f>
        <v>888</v>
      </c>
      <c r="N344" s="13">
        <f t="shared" si="10"/>
        <v>0.86549707602339176</v>
      </c>
      <c r="O344" s="16">
        <f>G344/Inventory!$G$2</f>
        <v>0.21052631578947367</v>
      </c>
      <c r="P344"/>
      <c r="AA344"/>
      <c r="AB344"/>
      <c r="AC344"/>
    </row>
    <row r="345" spans="1:29">
      <c r="A345" s="1" t="s">
        <v>635</v>
      </c>
      <c r="B345" s="1" t="s">
        <v>636</v>
      </c>
      <c r="C345" s="1" t="s">
        <v>57</v>
      </c>
      <c r="D345" s="1" t="s">
        <v>172</v>
      </c>
      <c r="E345" s="1" t="s">
        <v>202</v>
      </c>
      <c r="F345" s="1" t="s">
        <v>17</v>
      </c>
      <c r="G345" s="1">
        <v>12</v>
      </c>
      <c r="H345" s="1">
        <v>199</v>
      </c>
      <c r="I345" s="1">
        <v>0</v>
      </c>
      <c r="J345" s="1">
        <v>2388</v>
      </c>
      <c r="K345" s="1" t="s">
        <v>235</v>
      </c>
      <c r="L345" s="1" t="str">
        <f t="shared" si="11"/>
        <v>Apr</v>
      </c>
      <c r="M345" s="2">
        <f>(H345-_xlfn.XLOOKUP(D345,Product_Master!A:A,Product_Master!D:D))*G345</f>
        <v>1116</v>
      </c>
      <c r="N345" s="13">
        <f t="shared" si="10"/>
        <v>0.46733668341708545</v>
      </c>
      <c r="O345" s="16">
        <f>G345/Inventory!$G$2</f>
        <v>0.21052631578947367</v>
      </c>
      <c r="P345"/>
      <c r="AA345"/>
      <c r="AB345"/>
      <c r="AC345"/>
    </row>
    <row r="346" spans="1:29">
      <c r="A346" s="1" t="s">
        <v>637</v>
      </c>
      <c r="B346" s="1" t="s">
        <v>47</v>
      </c>
      <c r="C346" s="1" t="s">
        <v>57</v>
      </c>
      <c r="D346" s="1" t="s">
        <v>176</v>
      </c>
      <c r="E346" s="1" t="s">
        <v>206</v>
      </c>
      <c r="F346" s="1" t="s">
        <v>146</v>
      </c>
      <c r="G346" s="1">
        <v>9</v>
      </c>
      <c r="H346" s="1">
        <v>181</v>
      </c>
      <c r="I346" s="1">
        <v>10</v>
      </c>
      <c r="J346" s="1">
        <v>1466.1</v>
      </c>
      <c r="K346" s="1" t="s">
        <v>55</v>
      </c>
      <c r="L346" s="1" t="str">
        <f t="shared" si="11"/>
        <v>Jan</v>
      </c>
      <c r="M346" s="2">
        <f>(H346-_xlfn.XLOOKUP(D346,Product_Master!A:A,Product_Master!D:D))*G346</f>
        <v>567</v>
      </c>
      <c r="N346" s="13">
        <f t="shared" si="10"/>
        <v>0.38674033149171272</v>
      </c>
      <c r="O346" s="16">
        <f>G346/Inventory!$G$2</f>
        <v>0.15789473684210525</v>
      </c>
      <c r="P346"/>
      <c r="AA346"/>
      <c r="AB346"/>
      <c r="AC346"/>
    </row>
    <row r="347" spans="1:29">
      <c r="A347" s="1" t="s">
        <v>638</v>
      </c>
      <c r="B347" s="1" t="s">
        <v>127</v>
      </c>
      <c r="C347" s="1" t="s">
        <v>72</v>
      </c>
      <c r="D347" s="1" t="s">
        <v>166</v>
      </c>
      <c r="E347" s="1" t="s">
        <v>196</v>
      </c>
      <c r="F347" s="1" t="s">
        <v>7</v>
      </c>
      <c r="G347" s="1">
        <v>13</v>
      </c>
      <c r="H347" s="1">
        <v>100</v>
      </c>
      <c r="I347" s="1">
        <v>5</v>
      </c>
      <c r="J347" s="1">
        <v>1235</v>
      </c>
      <c r="K347" s="1" t="s">
        <v>49</v>
      </c>
      <c r="L347" s="1" t="str">
        <f t="shared" si="11"/>
        <v>Feb</v>
      </c>
      <c r="M347" s="2">
        <f>(H347-_xlfn.XLOOKUP(D347,Product_Master!A:A,Product_Master!D:D))*G347</f>
        <v>286</v>
      </c>
      <c r="N347" s="13">
        <f t="shared" si="10"/>
        <v>0.23157894736842105</v>
      </c>
      <c r="O347" s="16">
        <f>G347/Inventory!$G$2</f>
        <v>0.22807017543859648</v>
      </c>
      <c r="P347"/>
      <c r="AA347"/>
      <c r="AB347"/>
      <c r="AC347"/>
    </row>
    <row r="348" spans="1:29">
      <c r="A348" s="1" t="s">
        <v>639</v>
      </c>
      <c r="B348" s="1" t="s">
        <v>83</v>
      </c>
      <c r="C348" s="1" t="s">
        <v>65</v>
      </c>
      <c r="D348" s="1" t="s">
        <v>169</v>
      </c>
      <c r="E348" s="1" t="s">
        <v>199</v>
      </c>
      <c r="F348" s="1" t="s">
        <v>10</v>
      </c>
      <c r="G348" s="1">
        <v>5</v>
      </c>
      <c r="H348" s="1">
        <v>130</v>
      </c>
      <c r="I348" s="1">
        <v>15</v>
      </c>
      <c r="J348" s="1">
        <v>552.5</v>
      </c>
      <c r="K348" s="1" t="s">
        <v>49</v>
      </c>
      <c r="L348" s="1" t="str">
        <f t="shared" si="11"/>
        <v>Jan</v>
      </c>
      <c r="M348" s="2">
        <f>(H348-_xlfn.XLOOKUP(D348,Product_Master!A:A,Product_Master!D:D))*G348</f>
        <v>225</v>
      </c>
      <c r="N348" s="13">
        <f t="shared" si="10"/>
        <v>0.40723981900452488</v>
      </c>
      <c r="O348" s="16">
        <f>G348/Inventory!$G$2</f>
        <v>8.771929824561403E-2</v>
      </c>
      <c r="P348"/>
      <c r="AA348"/>
      <c r="AB348"/>
      <c r="AC348"/>
    </row>
    <row r="349" spans="1:29">
      <c r="A349" s="1" t="s">
        <v>640</v>
      </c>
      <c r="B349" s="1" t="s">
        <v>102</v>
      </c>
      <c r="C349" s="1" t="s">
        <v>48</v>
      </c>
      <c r="D349" s="1" t="s">
        <v>158</v>
      </c>
      <c r="E349" s="1" t="s">
        <v>188</v>
      </c>
      <c r="F349" s="1" t="s">
        <v>10</v>
      </c>
      <c r="G349" s="1">
        <v>12</v>
      </c>
      <c r="H349" s="1">
        <v>65</v>
      </c>
      <c r="I349" s="1">
        <v>5</v>
      </c>
      <c r="J349" s="1">
        <v>741</v>
      </c>
      <c r="K349" s="1" t="s">
        <v>215</v>
      </c>
      <c r="L349" s="1" t="str">
        <f t="shared" si="11"/>
        <v>Apr</v>
      </c>
      <c r="M349" s="2">
        <f>(H349-_xlfn.XLOOKUP(D349,Product_Master!A:A,Product_Master!D:D))*G349</f>
        <v>264</v>
      </c>
      <c r="N349" s="13">
        <f t="shared" si="10"/>
        <v>0.35627530364372467</v>
      </c>
      <c r="O349" s="16">
        <f>G349/Inventory!$G$2</f>
        <v>0.21052631578947367</v>
      </c>
      <c r="P349"/>
      <c r="AA349"/>
      <c r="AB349"/>
      <c r="AC349"/>
    </row>
    <row r="350" spans="1:29">
      <c r="A350" s="1" t="s">
        <v>641</v>
      </c>
      <c r="B350" s="1" t="s">
        <v>61</v>
      </c>
      <c r="C350" s="1" t="s">
        <v>72</v>
      </c>
      <c r="D350" s="1" t="s">
        <v>169</v>
      </c>
      <c r="E350" s="1" t="s">
        <v>199</v>
      </c>
      <c r="F350" s="1" t="s">
        <v>10</v>
      </c>
      <c r="G350" s="1">
        <v>4</v>
      </c>
      <c r="H350" s="1">
        <v>130</v>
      </c>
      <c r="I350" s="1">
        <v>5</v>
      </c>
      <c r="J350" s="1">
        <v>494</v>
      </c>
      <c r="K350" s="1" t="s">
        <v>235</v>
      </c>
      <c r="L350" s="1" t="str">
        <f t="shared" si="11"/>
        <v>Jan</v>
      </c>
      <c r="M350" s="2">
        <f>(H350-_xlfn.XLOOKUP(D350,Product_Master!A:A,Product_Master!D:D))*G350</f>
        <v>180</v>
      </c>
      <c r="N350" s="13">
        <f t="shared" si="10"/>
        <v>0.36437246963562753</v>
      </c>
      <c r="O350" s="16">
        <f>G350/Inventory!$G$2</f>
        <v>7.0175438596491224E-2</v>
      </c>
      <c r="P350"/>
      <c r="AA350"/>
      <c r="AB350"/>
      <c r="AC350"/>
    </row>
    <row r="351" spans="1:29">
      <c r="A351" s="1" t="s">
        <v>642</v>
      </c>
      <c r="B351" s="1" t="s">
        <v>140</v>
      </c>
      <c r="C351" s="1" t="s">
        <v>54</v>
      </c>
      <c r="D351" s="1" t="s">
        <v>158</v>
      </c>
      <c r="E351" s="1" t="s">
        <v>188</v>
      </c>
      <c r="F351" s="1" t="s">
        <v>10</v>
      </c>
      <c r="G351" s="1">
        <v>7</v>
      </c>
      <c r="H351" s="1">
        <v>65</v>
      </c>
      <c r="I351" s="1">
        <v>5</v>
      </c>
      <c r="J351" s="1">
        <v>432.25</v>
      </c>
      <c r="K351" s="1" t="s">
        <v>49</v>
      </c>
      <c r="L351" s="1" t="str">
        <f t="shared" si="11"/>
        <v>Mar</v>
      </c>
      <c r="M351" s="2">
        <f>(H351-_xlfn.XLOOKUP(D351,Product_Master!A:A,Product_Master!D:D))*G351</f>
        <v>154</v>
      </c>
      <c r="N351" s="13">
        <f t="shared" si="10"/>
        <v>0.35627530364372467</v>
      </c>
      <c r="O351" s="16">
        <f>G351/Inventory!$G$2</f>
        <v>0.12280701754385964</v>
      </c>
      <c r="P351"/>
      <c r="AA351"/>
      <c r="AB351"/>
      <c r="AC351"/>
    </row>
    <row r="352" spans="1:29">
      <c r="A352" s="1" t="s">
        <v>643</v>
      </c>
      <c r="B352" s="1" t="s">
        <v>372</v>
      </c>
      <c r="C352" s="1" t="s">
        <v>69</v>
      </c>
      <c r="D352" s="1" t="s">
        <v>151</v>
      </c>
      <c r="E352" s="1" t="s">
        <v>181</v>
      </c>
      <c r="F352" s="1" t="s">
        <v>7</v>
      </c>
      <c r="G352" s="1">
        <v>1</v>
      </c>
      <c r="H352" s="1">
        <v>96</v>
      </c>
      <c r="I352" s="1">
        <v>15</v>
      </c>
      <c r="J352" s="1">
        <v>81.599999999999994</v>
      </c>
      <c r="K352" s="1" t="s">
        <v>76</v>
      </c>
      <c r="L352" s="1" t="str">
        <f t="shared" si="11"/>
        <v>Jun</v>
      </c>
      <c r="M352" s="2">
        <f>(H352-_xlfn.XLOOKUP(D352,Product_Master!A:A,Product_Master!D:D))*G352</f>
        <v>76</v>
      </c>
      <c r="N352" s="13">
        <f t="shared" si="10"/>
        <v>0.93137254901960786</v>
      </c>
      <c r="O352" s="16">
        <f>G352/Inventory!$G$2</f>
        <v>1.7543859649122806E-2</v>
      </c>
      <c r="P352"/>
      <c r="AA352"/>
      <c r="AB352"/>
      <c r="AC352"/>
    </row>
    <row r="353" spans="1:29">
      <c r="A353" s="1" t="s">
        <v>644</v>
      </c>
      <c r="B353" s="1" t="s">
        <v>139</v>
      </c>
      <c r="C353" s="1" t="s">
        <v>259</v>
      </c>
      <c r="D353" s="1" t="s">
        <v>149</v>
      </c>
      <c r="E353" s="1" t="s">
        <v>179</v>
      </c>
      <c r="F353" s="1" t="s">
        <v>17</v>
      </c>
      <c r="G353" s="1">
        <v>14</v>
      </c>
      <c r="H353" s="1">
        <v>98</v>
      </c>
      <c r="I353" s="1">
        <v>15</v>
      </c>
      <c r="J353" s="1">
        <v>1166.2</v>
      </c>
      <c r="K353" s="1" t="s">
        <v>46</v>
      </c>
      <c r="L353" s="1" t="str">
        <f t="shared" si="11"/>
        <v>Mar</v>
      </c>
      <c r="M353" s="2">
        <f>(H353-_xlfn.XLOOKUP(D353,Product_Master!A:A,Product_Master!D:D))*G353</f>
        <v>308</v>
      </c>
      <c r="N353" s="13">
        <f t="shared" si="10"/>
        <v>0.26410564225690275</v>
      </c>
      <c r="O353" s="16">
        <f>G353/Inventory!$G$2</f>
        <v>0.24561403508771928</v>
      </c>
      <c r="P353"/>
      <c r="AA353"/>
      <c r="AB353"/>
      <c r="AC353"/>
    </row>
    <row r="354" spans="1:29">
      <c r="A354" s="1" t="s">
        <v>645</v>
      </c>
      <c r="B354" s="1" t="s">
        <v>237</v>
      </c>
      <c r="C354" s="1" t="s">
        <v>54</v>
      </c>
      <c r="D354" s="1" t="s">
        <v>164</v>
      </c>
      <c r="E354" s="1" t="s">
        <v>194</v>
      </c>
      <c r="F354" s="1" t="s">
        <v>147</v>
      </c>
      <c r="G354" s="1">
        <v>5</v>
      </c>
      <c r="H354" s="1">
        <v>135</v>
      </c>
      <c r="I354" s="1">
        <v>10</v>
      </c>
      <c r="J354" s="1">
        <v>607.5</v>
      </c>
      <c r="K354" s="1" t="s">
        <v>76</v>
      </c>
      <c r="L354" s="1" t="str">
        <f t="shared" si="11"/>
        <v>Jun</v>
      </c>
      <c r="M354" s="2">
        <f>(H354-_xlfn.XLOOKUP(D354,Product_Master!A:A,Product_Master!D:D))*G354</f>
        <v>215</v>
      </c>
      <c r="N354" s="13">
        <f t="shared" si="10"/>
        <v>0.35390946502057613</v>
      </c>
      <c r="O354" s="16">
        <f>G354/Inventory!$G$2</f>
        <v>8.771929824561403E-2</v>
      </c>
      <c r="P354"/>
      <c r="AA354"/>
      <c r="AB354"/>
      <c r="AC354"/>
    </row>
    <row r="355" spans="1:29">
      <c r="A355" s="1" t="s">
        <v>646</v>
      </c>
      <c r="B355" s="1" t="s">
        <v>82</v>
      </c>
      <c r="C355" s="1" t="s">
        <v>57</v>
      </c>
      <c r="D355" s="1" t="s">
        <v>165</v>
      </c>
      <c r="E355" s="1" t="s">
        <v>195</v>
      </c>
      <c r="F355" s="1" t="s">
        <v>147</v>
      </c>
      <c r="G355" s="1">
        <v>3</v>
      </c>
      <c r="H355" s="1">
        <v>109</v>
      </c>
      <c r="I355" s="1">
        <v>0</v>
      </c>
      <c r="J355" s="1">
        <v>327</v>
      </c>
      <c r="K355" s="1" t="s">
        <v>235</v>
      </c>
      <c r="L355" s="1" t="str">
        <f t="shared" si="11"/>
        <v>Jan</v>
      </c>
      <c r="M355" s="2">
        <f>(H355-_xlfn.XLOOKUP(D355,Product_Master!A:A,Product_Master!D:D))*G355</f>
        <v>165</v>
      </c>
      <c r="N355" s="13">
        <f t="shared" si="10"/>
        <v>0.50458715596330272</v>
      </c>
      <c r="O355" s="16">
        <f>G355/Inventory!$G$2</f>
        <v>5.2631578947368418E-2</v>
      </c>
      <c r="P355"/>
      <c r="AA355"/>
      <c r="AB355"/>
      <c r="AC355"/>
    </row>
    <row r="356" spans="1:29">
      <c r="A356" s="1" t="s">
        <v>647</v>
      </c>
      <c r="B356" s="1" t="s">
        <v>61</v>
      </c>
      <c r="C356" s="1" t="s">
        <v>65</v>
      </c>
      <c r="D356" s="1" t="s">
        <v>13</v>
      </c>
      <c r="E356" s="1" t="s">
        <v>14</v>
      </c>
      <c r="F356" s="1" t="s">
        <v>147</v>
      </c>
      <c r="G356" s="1">
        <v>3</v>
      </c>
      <c r="H356" s="1">
        <v>99</v>
      </c>
      <c r="I356" s="1">
        <v>5</v>
      </c>
      <c r="J356" s="1">
        <v>282.14999999999998</v>
      </c>
      <c r="K356" s="1" t="s">
        <v>49</v>
      </c>
      <c r="L356" s="1" t="str">
        <f t="shared" si="11"/>
        <v>Jan</v>
      </c>
      <c r="M356" s="2">
        <f>(H356-_xlfn.XLOOKUP(D356,Product_Master!A:A,Product_Master!D:D))*G356</f>
        <v>72</v>
      </c>
      <c r="N356" s="13">
        <f t="shared" si="10"/>
        <v>0.25518341307814996</v>
      </c>
      <c r="O356" s="16">
        <f>G356/Inventory!$G$2</f>
        <v>5.2631578947368418E-2</v>
      </c>
      <c r="P356"/>
      <c r="AA356"/>
      <c r="AB356"/>
      <c r="AC356"/>
    </row>
    <row r="357" spans="1:29">
      <c r="A357" s="1" t="s">
        <v>648</v>
      </c>
      <c r="B357" s="1" t="s">
        <v>237</v>
      </c>
      <c r="C357" s="1" t="s">
        <v>72</v>
      </c>
      <c r="D357" s="1" t="s">
        <v>150</v>
      </c>
      <c r="E357" s="1" t="s">
        <v>180</v>
      </c>
      <c r="F357" s="1" t="s">
        <v>17</v>
      </c>
      <c r="G357" s="1">
        <v>12</v>
      </c>
      <c r="H357" s="1">
        <v>143</v>
      </c>
      <c r="I357" s="1">
        <v>15</v>
      </c>
      <c r="J357" s="1">
        <v>1458.6</v>
      </c>
      <c r="K357" s="1" t="s">
        <v>215</v>
      </c>
      <c r="L357" s="1" t="str">
        <f t="shared" si="11"/>
        <v>Jun</v>
      </c>
      <c r="M357" s="2">
        <f>(H357-_xlfn.XLOOKUP(D357,Product_Master!A:A,Product_Master!D:D))*G357</f>
        <v>504</v>
      </c>
      <c r="N357" s="13">
        <f t="shared" si="10"/>
        <v>0.34553681612505144</v>
      </c>
      <c r="O357" s="16">
        <f>G357/Inventory!$G$2</f>
        <v>0.21052631578947367</v>
      </c>
      <c r="P357"/>
      <c r="AA357"/>
      <c r="AB357"/>
      <c r="AC357"/>
    </row>
    <row r="358" spans="1:29">
      <c r="A358" s="1" t="s">
        <v>649</v>
      </c>
      <c r="B358" s="1" t="s">
        <v>75</v>
      </c>
      <c r="C358" s="1" t="s">
        <v>65</v>
      </c>
      <c r="D358" s="1" t="s">
        <v>171</v>
      </c>
      <c r="E358" s="1" t="s">
        <v>201</v>
      </c>
      <c r="F358" s="1" t="s">
        <v>17</v>
      </c>
      <c r="G358" s="1">
        <v>11</v>
      </c>
      <c r="H358" s="1">
        <v>154</v>
      </c>
      <c r="I358" s="1">
        <v>5</v>
      </c>
      <c r="J358" s="1">
        <v>1609.3</v>
      </c>
      <c r="K358" s="1" t="s">
        <v>215</v>
      </c>
      <c r="L358" s="1" t="str">
        <f t="shared" si="11"/>
        <v>Jan</v>
      </c>
      <c r="M358" s="2">
        <f>(H358-_xlfn.XLOOKUP(D358,Product_Master!A:A,Product_Master!D:D))*G358</f>
        <v>638</v>
      </c>
      <c r="N358" s="13">
        <f t="shared" si="10"/>
        <v>0.39644565960355438</v>
      </c>
      <c r="O358" s="16">
        <f>G358/Inventory!$G$2</f>
        <v>0.19298245614035087</v>
      </c>
      <c r="P358"/>
      <c r="AA358"/>
      <c r="AB358"/>
      <c r="AC358"/>
    </row>
    <row r="359" spans="1:29">
      <c r="A359" s="1" t="s">
        <v>650</v>
      </c>
      <c r="B359" s="1" t="s">
        <v>313</v>
      </c>
      <c r="C359" s="1" t="s">
        <v>51</v>
      </c>
      <c r="D359" s="1" t="s">
        <v>157</v>
      </c>
      <c r="E359" s="1" t="s">
        <v>187</v>
      </c>
      <c r="F359" s="1" t="s">
        <v>7</v>
      </c>
      <c r="G359" s="1">
        <v>7</v>
      </c>
      <c r="H359" s="1">
        <v>61</v>
      </c>
      <c r="I359" s="1">
        <v>5</v>
      </c>
      <c r="J359" s="1">
        <v>405.65</v>
      </c>
      <c r="K359" s="1" t="s">
        <v>76</v>
      </c>
      <c r="L359" s="1" t="str">
        <f t="shared" si="11"/>
        <v>Jun</v>
      </c>
      <c r="M359" s="2">
        <f>(H359-_xlfn.XLOOKUP(D359,Product_Master!A:A,Product_Master!D:D))*G359</f>
        <v>357</v>
      </c>
      <c r="N359" s="13">
        <f t="shared" si="10"/>
        <v>0.88006902502157036</v>
      </c>
      <c r="O359" s="16">
        <f>G359/Inventory!$G$2</f>
        <v>0.12280701754385964</v>
      </c>
      <c r="P359"/>
      <c r="AA359"/>
      <c r="AB359"/>
      <c r="AC359"/>
    </row>
    <row r="360" spans="1:29">
      <c r="A360" s="1" t="s">
        <v>651</v>
      </c>
      <c r="B360" s="1" t="s">
        <v>347</v>
      </c>
      <c r="C360" s="1" t="s">
        <v>57</v>
      </c>
      <c r="D360" s="1" t="s">
        <v>20</v>
      </c>
      <c r="E360" s="1" t="s">
        <v>21</v>
      </c>
      <c r="F360" s="1" t="s">
        <v>10</v>
      </c>
      <c r="G360" s="1">
        <v>15</v>
      </c>
      <c r="H360" s="1">
        <v>128</v>
      </c>
      <c r="I360" s="1">
        <v>5</v>
      </c>
      <c r="J360" s="1">
        <v>1824</v>
      </c>
      <c r="K360" s="1" t="s">
        <v>215</v>
      </c>
      <c r="L360" s="1" t="str">
        <f t="shared" si="11"/>
        <v>Mar</v>
      </c>
      <c r="M360" s="2">
        <f>(H360-_xlfn.XLOOKUP(D360,Product_Master!A:A,Product_Master!D:D))*G360</f>
        <v>795</v>
      </c>
      <c r="N360" s="13">
        <f t="shared" si="10"/>
        <v>0.43585526315789475</v>
      </c>
      <c r="O360" s="16">
        <f>G360/Inventory!$G$2</f>
        <v>0.26315789473684209</v>
      </c>
      <c r="P360"/>
      <c r="AA360"/>
      <c r="AB360"/>
      <c r="AC360"/>
    </row>
    <row r="361" spans="1:29">
      <c r="A361" s="1" t="s">
        <v>652</v>
      </c>
      <c r="B361" s="1" t="s">
        <v>253</v>
      </c>
      <c r="C361" s="1" t="s">
        <v>259</v>
      </c>
      <c r="D361" s="1" t="s">
        <v>150</v>
      </c>
      <c r="E361" s="1" t="s">
        <v>180</v>
      </c>
      <c r="F361" s="1" t="s">
        <v>17</v>
      </c>
      <c r="G361" s="1">
        <v>10</v>
      </c>
      <c r="H361" s="1">
        <v>143</v>
      </c>
      <c r="I361" s="1">
        <v>5</v>
      </c>
      <c r="J361" s="1">
        <v>1358.5</v>
      </c>
      <c r="K361" s="1" t="s">
        <v>49</v>
      </c>
      <c r="L361" s="1" t="str">
        <f t="shared" si="11"/>
        <v>Mar</v>
      </c>
      <c r="M361" s="2">
        <f>(H361-_xlfn.XLOOKUP(D361,Product_Master!A:A,Product_Master!D:D))*G361</f>
        <v>420</v>
      </c>
      <c r="N361" s="13">
        <f t="shared" si="10"/>
        <v>0.30916451969083547</v>
      </c>
      <c r="O361" s="16">
        <f>G361/Inventory!$G$2</f>
        <v>0.17543859649122806</v>
      </c>
      <c r="P361"/>
      <c r="AA361"/>
      <c r="AB361"/>
      <c r="AC361"/>
    </row>
    <row r="362" spans="1:29">
      <c r="A362" s="1" t="s">
        <v>653</v>
      </c>
      <c r="B362" s="1" t="s">
        <v>229</v>
      </c>
      <c r="C362" s="1" t="s">
        <v>69</v>
      </c>
      <c r="D362" s="1" t="s">
        <v>156</v>
      </c>
      <c r="E362" s="1" t="s">
        <v>186</v>
      </c>
      <c r="F362" s="1" t="s">
        <v>147</v>
      </c>
      <c r="G362" s="1">
        <v>10</v>
      </c>
      <c r="H362" s="1">
        <v>95</v>
      </c>
      <c r="I362" s="1">
        <v>15</v>
      </c>
      <c r="J362" s="1">
        <v>807.5</v>
      </c>
      <c r="K362" s="1" t="s">
        <v>76</v>
      </c>
      <c r="L362" s="1" t="str">
        <f t="shared" si="11"/>
        <v>Apr</v>
      </c>
      <c r="M362" s="2">
        <f>(H362-_xlfn.XLOOKUP(D362,Product_Master!A:A,Product_Master!D:D))*G362</f>
        <v>740</v>
      </c>
      <c r="N362" s="13">
        <f t="shared" si="10"/>
        <v>0.91640866873065019</v>
      </c>
      <c r="O362" s="16">
        <f>G362/Inventory!$G$2</f>
        <v>0.17543859649122806</v>
      </c>
      <c r="P362"/>
      <c r="AA362"/>
      <c r="AB362"/>
      <c r="AC362"/>
    </row>
    <row r="363" spans="1:29">
      <c r="A363" s="1" t="s">
        <v>654</v>
      </c>
      <c r="B363" s="1" t="s">
        <v>112</v>
      </c>
      <c r="C363" s="1" t="s">
        <v>222</v>
      </c>
      <c r="D363" s="1" t="s">
        <v>177</v>
      </c>
      <c r="E363" s="1" t="s">
        <v>207</v>
      </c>
      <c r="F363" s="1" t="s">
        <v>146</v>
      </c>
      <c r="G363" s="1">
        <v>7</v>
      </c>
      <c r="H363" s="1">
        <v>145</v>
      </c>
      <c r="I363" s="1">
        <v>15</v>
      </c>
      <c r="J363" s="1">
        <v>862.75</v>
      </c>
      <c r="K363" s="1" t="s">
        <v>55</v>
      </c>
      <c r="L363" s="1" t="str">
        <f t="shared" si="11"/>
        <v>Apr</v>
      </c>
      <c r="M363" s="2">
        <f>(H363-_xlfn.XLOOKUP(D363,Product_Master!A:A,Product_Master!D:D))*G363</f>
        <v>574</v>
      </c>
      <c r="N363" s="13">
        <f t="shared" si="10"/>
        <v>0.66531440162271804</v>
      </c>
      <c r="O363" s="16">
        <f>G363/Inventory!$G$2</f>
        <v>0.12280701754385964</v>
      </c>
      <c r="P363"/>
      <c r="AA363"/>
      <c r="AB363"/>
      <c r="AC363"/>
    </row>
    <row r="364" spans="1:29">
      <c r="A364" s="1" t="s">
        <v>655</v>
      </c>
      <c r="B364" s="1" t="s">
        <v>101</v>
      </c>
      <c r="C364" s="1" t="s">
        <v>224</v>
      </c>
      <c r="D364" s="1" t="s">
        <v>169</v>
      </c>
      <c r="E364" s="1" t="s">
        <v>199</v>
      </c>
      <c r="F364" s="1" t="s">
        <v>10</v>
      </c>
      <c r="G364" s="1">
        <v>4</v>
      </c>
      <c r="H364" s="1">
        <v>130</v>
      </c>
      <c r="I364" s="1">
        <v>10</v>
      </c>
      <c r="J364" s="1">
        <v>468</v>
      </c>
      <c r="K364" s="1" t="s">
        <v>76</v>
      </c>
      <c r="L364" s="1" t="str">
        <f t="shared" si="11"/>
        <v>Jan</v>
      </c>
      <c r="M364" s="2">
        <f>(H364-_xlfn.XLOOKUP(D364,Product_Master!A:A,Product_Master!D:D))*G364</f>
        <v>180</v>
      </c>
      <c r="N364" s="13">
        <f t="shared" si="10"/>
        <v>0.38461538461538464</v>
      </c>
      <c r="O364" s="16">
        <f>G364/Inventory!$G$2</f>
        <v>7.0175438596491224E-2</v>
      </c>
      <c r="P364"/>
      <c r="AA364"/>
      <c r="AB364"/>
      <c r="AC364"/>
    </row>
    <row r="365" spans="1:29">
      <c r="A365" s="1" t="s">
        <v>656</v>
      </c>
      <c r="B365" s="1" t="s">
        <v>112</v>
      </c>
      <c r="C365" s="1" t="s">
        <v>51</v>
      </c>
      <c r="D365" s="1" t="s">
        <v>168</v>
      </c>
      <c r="E365" s="1" t="s">
        <v>198</v>
      </c>
      <c r="F365" s="1" t="s">
        <v>17</v>
      </c>
      <c r="G365" s="1">
        <v>12</v>
      </c>
      <c r="H365" s="1">
        <v>119</v>
      </c>
      <c r="I365" s="1">
        <v>10</v>
      </c>
      <c r="J365" s="1">
        <v>1285.2</v>
      </c>
      <c r="K365" s="1" t="s">
        <v>55</v>
      </c>
      <c r="L365" s="1" t="str">
        <f t="shared" si="11"/>
        <v>Apr</v>
      </c>
      <c r="M365" s="2">
        <f>(H365-_xlfn.XLOOKUP(D365,Product_Master!A:A,Product_Master!D:D))*G365</f>
        <v>564</v>
      </c>
      <c r="N365" s="13">
        <f t="shared" si="10"/>
        <v>0.4388422035480859</v>
      </c>
      <c r="O365" s="16">
        <f>G365/Inventory!$G$2</f>
        <v>0.21052631578947367</v>
      </c>
      <c r="P365"/>
      <c r="AA365"/>
      <c r="AB365"/>
      <c r="AC365"/>
    </row>
    <row r="366" spans="1:29">
      <c r="A366" s="1" t="s">
        <v>657</v>
      </c>
      <c r="B366" s="1" t="s">
        <v>67</v>
      </c>
      <c r="C366" s="1" t="s">
        <v>57</v>
      </c>
      <c r="D366" s="1" t="s">
        <v>156</v>
      </c>
      <c r="E366" s="1" t="s">
        <v>186</v>
      </c>
      <c r="F366" s="1" t="s">
        <v>147</v>
      </c>
      <c r="G366" s="1">
        <v>2</v>
      </c>
      <c r="H366" s="1">
        <v>95</v>
      </c>
      <c r="I366" s="1">
        <v>0</v>
      </c>
      <c r="J366" s="1">
        <v>190</v>
      </c>
      <c r="K366" s="1" t="s">
        <v>76</v>
      </c>
      <c r="L366" s="1" t="str">
        <f t="shared" si="11"/>
        <v>Jan</v>
      </c>
      <c r="M366" s="2">
        <f>(H366-_xlfn.XLOOKUP(D366,Product_Master!A:A,Product_Master!D:D))*G366</f>
        <v>148</v>
      </c>
      <c r="N366" s="13">
        <f t="shared" si="10"/>
        <v>0.77894736842105261</v>
      </c>
      <c r="O366" s="16">
        <f>G366/Inventory!$G$2</f>
        <v>3.5087719298245612E-2</v>
      </c>
      <c r="P366"/>
      <c r="AA366"/>
      <c r="AB366"/>
      <c r="AC366"/>
    </row>
    <row r="367" spans="1:29">
      <c r="A367" s="1" t="s">
        <v>658</v>
      </c>
      <c r="B367" s="1" t="s">
        <v>73</v>
      </c>
      <c r="C367" s="1" t="s">
        <v>48</v>
      </c>
      <c r="D367" s="1" t="s">
        <v>162</v>
      </c>
      <c r="E367" s="1" t="s">
        <v>192</v>
      </c>
      <c r="F367" s="1" t="s">
        <v>146</v>
      </c>
      <c r="G367" s="1">
        <v>6</v>
      </c>
      <c r="H367" s="1">
        <v>168</v>
      </c>
      <c r="I367" s="1">
        <v>5</v>
      </c>
      <c r="J367" s="1">
        <v>957.6</v>
      </c>
      <c r="K367" s="1" t="s">
        <v>55</v>
      </c>
      <c r="L367" s="1" t="str">
        <f t="shared" si="11"/>
        <v>Apr</v>
      </c>
      <c r="M367" s="2">
        <f>(H367-_xlfn.XLOOKUP(D367,Product_Master!A:A,Product_Master!D:D))*G367</f>
        <v>330</v>
      </c>
      <c r="N367" s="13">
        <f t="shared" si="10"/>
        <v>0.34461152882205515</v>
      </c>
      <c r="O367" s="16">
        <f>G367/Inventory!$G$2</f>
        <v>0.10526315789473684</v>
      </c>
      <c r="P367"/>
      <c r="AA367"/>
      <c r="AB367"/>
      <c r="AC367"/>
    </row>
    <row r="368" spans="1:29">
      <c r="A368" s="1" t="s">
        <v>659</v>
      </c>
      <c r="B368" s="1" t="s">
        <v>324</v>
      </c>
      <c r="C368" s="1" t="s">
        <v>222</v>
      </c>
      <c r="D368" s="1" t="s">
        <v>165</v>
      </c>
      <c r="E368" s="1" t="s">
        <v>195</v>
      </c>
      <c r="F368" s="1" t="s">
        <v>147</v>
      </c>
      <c r="G368" s="1">
        <v>9</v>
      </c>
      <c r="H368" s="1">
        <v>109</v>
      </c>
      <c r="I368" s="1">
        <v>0</v>
      </c>
      <c r="J368" s="1">
        <v>981</v>
      </c>
      <c r="K368" s="1" t="s">
        <v>76</v>
      </c>
      <c r="L368" s="1" t="str">
        <f t="shared" si="11"/>
        <v>Apr</v>
      </c>
      <c r="M368" s="2">
        <f>(H368-_xlfn.XLOOKUP(D368,Product_Master!A:A,Product_Master!D:D))*G368</f>
        <v>495</v>
      </c>
      <c r="N368" s="13">
        <f t="shared" si="10"/>
        <v>0.50458715596330272</v>
      </c>
      <c r="O368" s="16">
        <f>G368/Inventory!$G$2</f>
        <v>0.15789473684210525</v>
      </c>
      <c r="P368"/>
      <c r="AA368"/>
      <c r="AB368"/>
      <c r="AC368"/>
    </row>
    <row r="369" spans="1:29">
      <c r="A369" s="1" t="s">
        <v>660</v>
      </c>
      <c r="B369" s="1" t="s">
        <v>135</v>
      </c>
      <c r="C369" s="1" t="s">
        <v>54</v>
      </c>
      <c r="D369" s="1" t="s">
        <v>151</v>
      </c>
      <c r="E369" s="1" t="s">
        <v>181</v>
      </c>
      <c r="F369" s="1" t="s">
        <v>7</v>
      </c>
      <c r="G369" s="1">
        <v>10</v>
      </c>
      <c r="H369" s="1">
        <v>96</v>
      </c>
      <c r="I369" s="1">
        <v>0</v>
      </c>
      <c r="J369" s="1">
        <v>960</v>
      </c>
      <c r="K369" s="1" t="s">
        <v>49</v>
      </c>
      <c r="L369" s="1" t="str">
        <f t="shared" si="11"/>
        <v>Feb</v>
      </c>
      <c r="M369" s="2">
        <f>(H369-_xlfn.XLOOKUP(D369,Product_Master!A:A,Product_Master!D:D))*G369</f>
        <v>760</v>
      </c>
      <c r="N369" s="13">
        <f t="shared" si="10"/>
        <v>0.79166666666666663</v>
      </c>
      <c r="O369" s="16">
        <f>G369/Inventory!$G$2</f>
        <v>0.17543859649122806</v>
      </c>
      <c r="P369"/>
      <c r="AA369"/>
      <c r="AB369"/>
      <c r="AC369"/>
    </row>
    <row r="370" spans="1:29">
      <c r="A370" s="1" t="s">
        <v>661</v>
      </c>
      <c r="B370" s="1" t="s">
        <v>253</v>
      </c>
      <c r="C370" s="1" t="s">
        <v>224</v>
      </c>
      <c r="D370" s="1" t="s">
        <v>176</v>
      </c>
      <c r="E370" s="1" t="s">
        <v>206</v>
      </c>
      <c r="F370" s="1" t="s">
        <v>146</v>
      </c>
      <c r="G370" s="1">
        <v>13</v>
      </c>
      <c r="H370" s="1">
        <v>181</v>
      </c>
      <c r="I370" s="1">
        <v>5</v>
      </c>
      <c r="J370" s="1">
        <v>2235.35</v>
      </c>
      <c r="K370" s="1" t="s">
        <v>215</v>
      </c>
      <c r="L370" s="1" t="str">
        <f t="shared" si="11"/>
        <v>Mar</v>
      </c>
      <c r="M370" s="2">
        <f>(H370-_xlfn.XLOOKUP(D370,Product_Master!A:A,Product_Master!D:D))*G370</f>
        <v>819</v>
      </c>
      <c r="N370" s="13">
        <f t="shared" si="10"/>
        <v>0.36638557720267523</v>
      </c>
      <c r="O370" s="16">
        <f>G370/Inventory!$G$2</f>
        <v>0.22807017543859648</v>
      </c>
      <c r="P370"/>
      <c r="AA370"/>
      <c r="AB370"/>
      <c r="AC370"/>
    </row>
    <row r="371" spans="1:29">
      <c r="A371" s="1" t="s">
        <v>662</v>
      </c>
      <c r="B371" s="1" t="s">
        <v>123</v>
      </c>
      <c r="C371" s="1" t="s">
        <v>72</v>
      </c>
      <c r="D371" s="1" t="s">
        <v>157</v>
      </c>
      <c r="E371" s="1" t="s">
        <v>187</v>
      </c>
      <c r="F371" s="1" t="s">
        <v>7</v>
      </c>
      <c r="G371" s="1">
        <v>1</v>
      </c>
      <c r="H371" s="1">
        <v>61</v>
      </c>
      <c r="I371" s="1">
        <v>15</v>
      </c>
      <c r="J371" s="1">
        <v>51.85</v>
      </c>
      <c r="K371" s="1" t="s">
        <v>76</v>
      </c>
      <c r="L371" s="1" t="str">
        <f t="shared" si="11"/>
        <v>Jan</v>
      </c>
      <c r="M371" s="2">
        <f>(H371-_xlfn.XLOOKUP(D371,Product_Master!A:A,Product_Master!D:D))*G371</f>
        <v>51</v>
      </c>
      <c r="N371" s="13">
        <f t="shared" si="10"/>
        <v>0.98360655737704916</v>
      </c>
      <c r="O371" s="16">
        <f>G371/Inventory!$G$2</f>
        <v>1.7543859649122806E-2</v>
      </c>
      <c r="P371"/>
      <c r="AA371"/>
      <c r="AB371"/>
      <c r="AC371"/>
    </row>
    <row r="372" spans="1:29">
      <c r="A372" s="1" t="s">
        <v>663</v>
      </c>
      <c r="B372" s="1" t="s">
        <v>116</v>
      </c>
      <c r="C372" s="1" t="s">
        <v>72</v>
      </c>
      <c r="D372" s="1" t="s">
        <v>162</v>
      </c>
      <c r="E372" s="1" t="s">
        <v>192</v>
      </c>
      <c r="F372" s="1" t="s">
        <v>146</v>
      </c>
      <c r="G372" s="1">
        <v>15</v>
      </c>
      <c r="H372" s="1">
        <v>168</v>
      </c>
      <c r="I372" s="1">
        <v>0</v>
      </c>
      <c r="J372" s="1">
        <v>2520</v>
      </c>
      <c r="K372" s="1" t="s">
        <v>55</v>
      </c>
      <c r="L372" s="1" t="str">
        <f t="shared" si="11"/>
        <v>Mar</v>
      </c>
      <c r="M372" s="2">
        <f>(H372-_xlfn.XLOOKUP(D372,Product_Master!A:A,Product_Master!D:D))*G372</f>
        <v>825</v>
      </c>
      <c r="N372" s="13">
        <f t="shared" si="10"/>
        <v>0.32738095238095238</v>
      </c>
      <c r="O372" s="16">
        <f>G372/Inventory!$G$2</f>
        <v>0.26315789473684209</v>
      </c>
      <c r="P372"/>
      <c r="AA372"/>
      <c r="AB372"/>
      <c r="AC372"/>
    </row>
    <row r="373" spans="1:29">
      <c r="A373" s="1" t="s">
        <v>664</v>
      </c>
      <c r="B373" s="1" t="s">
        <v>249</v>
      </c>
      <c r="C373" s="1" t="s">
        <v>69</v>
      </c>
      <c r="D373" s="1" t="s">
        <v>18</v>
      </c>
      <c r="E373" s="1" t="s">
        <v>19</v>
      </c>
      <c r="F373" s="1" t="s">
        <v>146</v>
      </c>
      <c r="G373" s="1">
        <v>9</v>
      </c>
      <c r="H373" s="1">
        <v>140</v>
      </c>
      <c r="I373" s="1">
        <v>15</v>
      </c>
      <c r="J373" s="1">
        <v>1071</v>
      </c>
      <c r="K373" s="1" t="s">
        <v>49</v>
      </c>
      <c r="L373" s="1" t="str">
        <f t="shared" si="11"/>
        <v>Jun</v>
      </c>
      <c r="M373" s="2">
        <f>(H373-_xlfn.XLOOKUP(D373,Product_Master!A:A,Product_Master!D:D))*G373</f>
        <v>882</v>
      </c>
      <c r="N373" s="13">
        <f t="shared" si="10"/>
        <v>0.82352941176470584</v>
      </c>
      <c r="O373" s="16">
        <f>G373/Inventory!$G$2</f>
        <v>0.15789473684210525</v>
      </c>
      <c r="P373"/>
      <c r="AA373"/>
      <c r="AB373"/>
      <c r="AC373"/>
    </row>
    <row r="374" spans="1:29">
      <c r="A374" s="1" t="s">
        <v>665</v>
      </c>
      <c r="B374" s="1" t="s">
        <v>233</v>
      </c>
      <c r="C374" s="1" t="s">
        <v>51</v>
      </c>
      <c r="D374" s="1" t="s">
        <v>8</v>
      </c>
      <c r="E374" s="1" t="s">
        <v>9</v>
      </c>
      <c r="F374" s="1" t="s">
        <v>10</v>
      </c>
      <c r="G374" s="1">
        <v>9</v>
      </c>
      <c r="H374" s="1">
        <v>146</v>
      </c>
      <c r="I374" s="1">
        <v>0</v>
      </c>
      <c r="J374" s="1">
        <v>1314</v>
      </c>
      <c r="K374" s="1" t="s">
        <v>235</v>
      </c>
      <c r="L374" s="1" t="str">
        <f t="shared" si="11"/>
        <v>Jun</v>
      </c>
      <c r="M374" s="2">
        <f>(H374-_xlfn.XLOOKUP(D374,Product_Master!A:A,Product_Master!D:D))*G374</f>
        <v>450</v>
      </c>
      <c r="N374" s="13">
        <f t="shared" si="10"/>
        <v>0.34246575342465752</v>
      </c>
      <c r="O374" s="16">
        <f>G374/Inventory!$G$2</f>
        <v>0.15789473684210525</v>
      </c>
      <c r="P374"/>
      <c r="AA374"/>
      <c r="AB374"/>
      <c r="AC374"/>
    </row>
    <row r="375" spans="1:29">
      <c r="A375" s="1" t="s">
        <v>666</v>
      </c>
      <c r="B375" s="1" t="s">
        <v>144</v>
      </c>
      <c r="C375" s="1" t="s">
        <v>222</v>
      </c>
      <c r="D375" s="1" t="s">
        <v>155</v>
      </c>
      <c r="E375" s="1" t="s">
        <v>185</v>
      </c>
      <c r="F375" s="1" t="s">
        <v>7</v>
      </c>
      <c r="G375" s="1">
        <v>13</v>
      </c>
      <c r="H375" s="1">
        <v>156</v>
      </c>
      <c r="I375" s="1">
        <v>15</v>
      </c>
      <c r="J375" s="1">
        <v>1723.8</v>
      </c>
      <c r="K375" s="1" t="s">
        <v>46</v>
      </c>
      <c r="L375" s="1" t="str">
        <f t="shared" si="11"/>
        <v>Apr</v>
      </c>
      <c r="M375" s="2">
        <f>(H375-_xlfn.XLOOKUP(D375,Product_Master!A:A,Product_Master!D:D))*G375</f>
        <v>819</v>
      </c>
      <c r="N375" s="13">
        <f t="shared" si="10"/>
        <v>0.47511312217194573</v>
      </c>
      <c r="O375" s="16">
        <f>G375/Inventory!$G$2</f>
        <v>0.22807017543859648</v>
      </c>
      <c r="P375"/>
      <c r="AA375"/>
      <c r="AB375"/>
      <c r="AC375"/>
    </row>
    <row r="376" spans="1:29">
      <c r="A376" s="1" t="s">
        <v>667</v>
      </c>
      <c r="B376" s="1" t="s">
        <v>559</v>
      </c>
      <c r="C376" s="1" t="s">
        <v>57</v>
      </c>
      <c r="D376" s="1" t="s">
        <v>159</v>
      </c>
      <c r="E376" s="1" t="s">
        <v>189</v>
      </c>
      <c r="F376" s="1" t="s">
        <v>146</v>
      </c>
      <c r="G376" s="1">
        <v>10</v>
      </c>
      <c r="H376" s="1">
        <v>147</v>
      </c>
      <c r="I376" s="1">
        <v>0</v>
      </c>
      <c r="J376" s="1">
        <v>1470</v>
      </c>
      <c r="K376" s="1" t="s">
        <v>46</v>
      </c>
      <c r="L376" s="1" t="str">
        <f t="shared" si="11"/>
        <v>May</v>
      </c>
      <c r="M376" s="2">
        <f>(H376-_xlfn.XLOOKUP(D376,Product_Master!A:A,Product_Master!D:D))*G376</f>
        <v>860</v>
      </c>
      <c r="N376" s="13">
        <f t="shared" si="10"/>
        <v>0.58503401360544216</v>
      </c>
      <c r="O376" s="16">
        <f>G376/Inventory!$G$2</f>
        <v>0.17543859649122806</v>
      </c>
      <c r="P376"/>
      <c r="AA376"/>
      <c r="AB376"/>
      <c r="AC376"/>
    </row>
    <row r="377" spans="1:29">
      <c r="A377" s="1" t="s">
        <v>668</v>
      </c>
      <c r="B377" s="1" t="s">
        <v>596</v>
      </c>
      <c r="C377" s="1" t="s">
        <v>48</v>
      </c>
      <c r="D377" s="1" t="s">
        <v>150</v>
      </c>
      <c r="E377" s="1" t="s">
        <v>180</v>
      </c>
      <c r="F377" s="1" t="s">
        <v>17</v>
      </c>
      <c r="G377" s="1">
        <v>4</v>
      </c>
      <c r="H377" s="1">
        <v>143</v>
      </c>
      <c r="I377" s="1">
        <v>0</v>
      </c>
      <c r="J377" s="1">
        <v>572</v>
      </c>
      <c r="K377" s="1" t="s">
        <v>46</v>
      </c>
      <c r="L377" s="1" t="str">
        <f t="shared" si="11"/>
        <v>Jun</v>
      </c>
      <c r="M377" s="2">
        <f>(H377-_xlfn.XLOOKUP(D377,Product_Master!A:A,Product_Master!D:D))*G377</f>
        <v>168</v>
      </c>
      <c r="N377" s="13">
        <f t="shared" si="10"/>
        <v>0.2937062937062937</v>
      </c>
      <c r="O377" s="16">
        <f>G377/Inventory!$G$2</f>
        <v>7.0175438596491224E-2</v>
      </c>
      <c r="P377"/>
      <c r="AA377"/>
      <c r="AB377"/>
      <c r="AC377"/>
    </row>
    <row r="378" spans="1:29">
      <c r="A378" s="1" t="s">
        <v>669</v>
      </c>
      <c r="B378" s="1" t="s">
        <v>102</v>
      </c>
      <c r="C378" s="1" t="s">
        <v>54</v>
      </c>
      <c r="D378" s="1" t="s">
        <v>172</v>
      </c>
      <c r="E378" s="1" t="s">
        <v>202</v>
      </c>
      <c r="F378" s="1" t="s">
        <v>17</v>
      </c>
      <c r="G378" s="1">
        <v>11</v>
      </c>
      <c r="H378" s="1">
        <v>199</v>
      </c>
      <c r="I378" s="1">
        <v>5</v>
      </c>
      <c r="J378" s="1">
        <v>2079.5500000000002</v>
      </c>
      <c r="K378" s="1" t="s">
        <v>55</v>
      </c>
      <c r="L378" s="1" t="str">
        <f t="shared" si="11"/>
        <v>Apr</v>
      </c>
      <c r="M378" s="2">
        <f>(H378-_xlfn.XLOOKUP(D378,Product_Master!A:A,Product_Master!D:D))*G378</f>
        <v>1023</v>
      </c>
      <c r="N378" s="13">
        <f t="shared" si="10"/>
        <v>0.49193335096535301</v>
      </c>
      <c r="O378" s="16">
        <f>G378/Inventory!$G$2</f>
        <v>0.19298245614035087</v>
      </c>
      <c r="P378"/>
      <c r="AA378"/>
      <c r="AB378"/>
      <c r="AC378"/>
    </row>
    <row r="379" spans="1:29">
      <c r="A379" s="1" t="s">
        <v>670</v>
      </c>
      <c r="B379" s="1" t="s">
        <v>96</v>
      </c>
      <c r="C379" s="1" t="s">
        <v>48</v>
      </c>
      <c r="D379" s="1" t="s">
        <v>148</v>
      </c>
      <c r="E379" s="1" t="s">
        <v>178</v>
      </c>
      <c r="F379" s="1" t="s">
        <v>147</v>
      </c>
      <c r="G379" s="1">
        <v>12</v>
      </c>
      <c r="H379" s="1">
        <v>90</v>
      </c>
      <c r="I379" s="1">
        <v>0</v>
      </c>
      <c r="J379" s="1">
        <v>1080</v>
      </c>
      <c r="K379" s="1" t="s">
        <v>215</v>
      </c>
      <c r="L379" s="1" t="str">
        <f t="shared" si="11"/>
        <v>Jan</v>
      </c>
      <c r="M379" s="2">
        <f>(H379-_xlfn.XLOOKUP(D379,Product_Master!A:A,Product_Master!D:D))*G379</f>
        <v>372</v>
      </c>
      <c r="N379" s="13">
        <f t="shared" si="10"/>
        <v>0.34444444444444444</v>
      </c>
      <c r="O379" s="16">
        <f>G379/Inventory!$G$2</f>
        <v>0.21052631578947367</v>
      </c>
      <c r="P379"/>
      <c r="AA379"/>
      <c r="AB379"/>
      <c r="AC379"/>
    </row>
    <row r="380" spans="1:29">
      <c r="A380" s="1" t="s">
        <v>671</v>
      </c>
      <c r="B380" s="1" t="s">
        <v>126</v>
      </c>
      <c r="C380" s="1" t="s">
        <v>45</v>
      </c>
      <c r="D380" s="1" t="s">
        <v>169</v>
      </c>
      <c r="E380" s="1" t="s">
        <v>199</v>
      </c>
      <c r="F380" s="1" t="s">
        <v>10</v>
      </c>
      <c r="G380" s="1">
        <v>8</v>
      </c>
      <c r="H380" s="1">
        <v>130</v>
      </c>
      <c r="I380" s="1">
        <v>5</v>
      </c>
      <c r="J380" s="1">
        <v>988</v>
      </c>
      <c r="K380" s="1" t="s">
        <v>49</v>
      </c>
      <c r="L380" s="1" t="str">
        <f t="shared" si="11"/>
        <v>Jan</v>
      </c>
      <c r="M380" s="2">
        <f>(H380-_xlfn.XLOOKUP(D380,Product_Master!A:A,Product_Master!D:D))*G380</f>
        <v>360</v>
      </c>
      <c r="N380" s="13">
        <f t="shared" si="10"/>
        <v>0.36437246963562753</v>
      </c>
      <c r="O380" s="16">
        <f>G380/Inventory!$G$2</f>
        <v>0.14035087719298245</v>
      </c>
      <c r="P380"/>
      <c r="AA380"/>
      <c r="AB380"/>
      <c r="AC380"/>
    </row>
    <row r="381" spans="1:29">
      <c r="A381" s="1" t="s">
        <v>672</v>
      </c>
      <c r="B381" s="1" t="s">
        <v>322</v>
      </c>
      <c r="C381" s="1" t="s">
        <v>57</v>
      </c>
      <c r="D381" s="1" t="s">
        <v>151</v>
      </c>
      <c r="E381" s="1" t="s">
        <v>181</v>
      </c>
      <c r="F381" s="1" t="s">
        <v>7</v>
      </c>
      <c r="G381" s="1">
        <v>15</v>
      </c>
      <c r="H381" s="1">
        <v>96</v>
      </c>
      <c r="I381" s="1">
        <v>0</v>
      </c>
      <c r="J381" s="1">
        <v>1440</v>
      </c>
      <c r="K381" s="1" t="s">
        <v>76</v>
      </c>
      <c r="L381" s="1" t="str">
        <f t="shared" si="11"/>
        <v>Jan</v>
      </c>
      <c r="M381" s="2">
        <f>(H381-_xlfn.XLOOKUP(D381,Product_Master!A:A,Product_Master!D:D))*G381</f>
        <v>1140</v>
      </c>
      <c r="N381" s="13">
        <f t="shared" si="10"/>
        <v>0.79166666666666663</v>
      </c>
      <c r="O381" s="16">
        <f>G381/Inventory!$G$2</f>
        <v>0.26315789473684209</v>
      </c>
      <c r="P381"/>
      <c r="AA381"/>
      <c r="AB381"/>
      <c r="AC381"/>
    </row>
    <row r="382" spans="1:29">
      <c r="A382" s="1" t="s">
        <v>673</v>
      </c>
      <c r="B382" s="1" t="s">
        <v>357</v>
      </c>
      <c r="C382" s="1" t="s">
        <v>69</v>
      </c>
      <c r="D382" s="1" t="s">
        <v>26</v>
      </c>
      <c r="E382" s="1" t="s">
        <v>27</v>
      </c>
      <c r="F382" s="1" t="s">
        <v>147</v>
      </c>
      <c r="G382" s="1">
        <v>14</v>
      </c>
      <c r="H382" s="1">
        <v>160</v>
      </c>
      <c r="I382" s="1">
        <v>0</v>
      </c>
      <c r="J382" s="1">
        <v>2240</v>
      </c>
      <c r="K382" s="1" t="s">
        <v>46</v>
      </c>
      <c r="L382" s="1" t="str">
        <f t="shared" si="11"/>
        <v>Mar</v>
      </c>
      <c r="M382" s="2">
        <f>(H382-_xlfn.XLOOKUP(D382,Product_Master!A:A,Product_Master!D:D))*G382</f>
        <v>924</v>
      </c>
      <c r="N382" s="13">
        <f t="shared" si="10"/>
        <v>0.41249999999999998</v>
      </c>
      <c r="O382" s="16">
        <f>G382/Inventory!$G$2</f>
        <v>0.24561403508771928</v>
      </c>
      <c r="P382"/>
      <c r="AA382"/>
      <c r="AB382"/>
      <c r="AC382"/>
    </row>
    <row r="383" spans="1:29">
      <c r="A383" s="1" t="s">
        <v>674</v>
      </c>
      <c r="B383" s="1" t="s">
        <v>66</v>
      </c>
      <c r="C383" s="1" t="s">
        <v>211</v>
      </c>
      <c r="D383" s="1" t="s">
        <v>164</v>
      </c>
      <c r="E383" s="1" t="s">
        <v>194</v>
      </c>
      <c r="F383" s="1" t="s">
        <v>147</v>
      </c>
      <c r="G383" s="1">
        <v>5</v>
      </c>
      <c r="H383" s="1">
        <v>135</v>
      </c>
      <c r="I383" s="1">
        <v>10</v>
      </c>
      <c r="J383" s="1">
        <v>607.5</v>
      </c>
      <c r="K383" s="1" t="s">
        <v>49</v>
      </c>
      <c r="L383" s="1" t="str">
        <f t="shared" si="11"/>
        <v>Apr</v>
      </c>
      <c r="M383" s="2">
        <f>(H383-_xlfn.XLOOKUP(D383,Product_Master!A:A,Product_Master!D:D))*G383</f>
        <v>215</v>
      </c>
      <c r="N383" s="13">
        <f t="shared" si="10"/>
        <v>0.35390946502057613</v>
      </c>
      <c r="O383" s="16">
        <f>G383/Inventory!$G$2</f>
        <v>8.771929824561403E-2</v>
      </c>
      <c r="P383"/>
      <c r="AA383"/>
      <c r="AB383"/>
      <c r="AC383"/>
    </row>
    <row r="384" spans="1:29">
      <c r="A384" s="1" t="s">
        <v>675</v>
      </c>
      <c r="B384" s="1" t="s">
        <v>368</v>
      </c>
      <c r="C384" s="1" t="s">
        <v>69</v>
      </c>
      <c r="D384" s="1" t="s">
        <v>172</v>
      </c>
      <c r="E384" s="1" t="s">
        <v>202</v>
      </c>
      <c r="F384" s="1" t="s">
        <v>17</v>
      </c>
      <c r="G384" s="1">
        <v>4</v>
      </c>
      <c r="H384" s="1">
        <v>199</v>
      </c>
      <c r="I384" s="1">
        <v>15</v>
      </c>
      <c r="J384" s="1">
        <v>676.6</v>
      </c>
      <c r="K384" s="1" t="s">
        <v>215</v>
      </c>
      <c r="L384" s="1" t="str">
        <f t="shared" si="11"/>
        <v>Jun</v>
      </c>
      <c r="M384" s="2">
        <f>(H384-_xlfn.XLOOKUP(D384,Product_Master!A:A,Product_Master!D:D))*G384</f>
        <v>372</v>
      </c>
      <c r="N384" s="13">
        <f t="shared" si="10"/>
        <v>0.54980786284362992</v>
      </c>
      <c r="O384" s="16">
        <f>G384/Inventory!$G$2</f>
        <v>7.0175438596491224E-2</v>
      </c>
      <c r="P384"/>
      <c r="AA384"/>
      <c r="AB384"/>
      <c r="AC384"/>
    </row>
    <row r="385" spans="1:29">
      <c r="A385" s="1" t="s">
        <v>676</v>
      </c>
      <c r="B385" s="1" t="s">
        <v>313</v>
      </c>
      <c r="C385" s="1" t="s">
        <v>51</v>
      </c>
      <c r="D385" s="1" t="s">
        <v>163</v>
      </c>
      <c r="E385" s="1" t="s">
        <v>193</v>
      </c>
      <c r="F385" s="1" t="s">
        <v>146</v>
      </c>
      <c r="G385" s="1">
        <v>14</v>
      </c>
      <c r="H385" s="1">
        <v>82</v>
      </c>
      <c r="I385" s="1">
        <v>5</v>
      </c>
      <c r="J385" s="1">
        <v>1090.5999999999999</v>
      </c>
      <c r="K385" s="1" t="s">
        <v>235</v>
      </c>
      <c r="L385" s="1" t="str">
        <f t="shared" si="11"/>
        <v>Jun</v>
      </c>
      <c r="M385" s="2">
        <f>(H385-_xlfn.XLOOKUP(D385,Product_Master!A:A,Product_Master!D:D))*G385</f>
        <v>560</v>
      </c>
      <c r="N385" s="13">
        <f t="shared" si="10"/>
        <v>0.51347881899871639</v>
      </c>
      <c r="O385" s="16">
        <f>G385/Inventory!$G$2</f>
        <v>0.24561403508771928</v>
      </c>
      <c r="P385"/>
      <c r="AA385"/>
      <c r="AB385"/>
      <c r="AC385"/>
    </row>
    <row r="386" spans="1:29">
      <c r="A386" s="1" t="s">
        <v>677</v>
      </c>
      <c r="B386" s="1" t="s">
        <v>58</v>
      </c>
      <c r="C386" s="1" t="s">
        <v>224</v>
      </c>
      <c r="D386" s="1" t="s">
        <v>166</v>
      </c>
      <c r="E386" s="1" t="s">
        <v>196</v>
      </c>
      <c r="F386" s="1" t="s">
        <v>7</v>
      </c>
      <c r="G386" s="1">
        <v>13</v>
      </c>
      <c r="H386" s="1">
        <v>100</v>
      </c>
      <c r="I386" s="1">
        <v>10</v>
      </c>
      <c r="J386" s="1">
        <v>1170</v>
      </c>
      <c r="K386" s="1" t="s">
        <v>46</v>
      </c>
      <c r="L386" s="1" t="str">
        <f t="shared" si="11"/>
        <v>Apr</v>
      </c>
      <c r="M386" s="2">
        <f>(H386-_xlfn.XLOOKUP(D386,Product_Master!A:A,Product_Master!D:D))*G386</f>
        <v>286</v>
      </c>
      <c r="N386" s="13">
        <f t="shared" si="10"/>
        <v>0.24444444444444444</v>
      </c>
      <c r="O386" s="16">
        <f>G386/Inventory!$G$2</f>
        <v>0.22807017543859648</v>
      </c>
      <c r="P386"/>
      <c r="AA386"/>
      <c r="AB386"/>
      <c r="AC386"/>
    </row>
    <row r="387" spans="1:29">
      <c r="A387" s="1" t="s">
        <v>678</v>
      </c>
      <c r="B387" s="1" t="s">
        <v>74</v>
      </c>
      <c r="C387" s="1" t="s">
        <v>72</v>
      </c>
      <c r="D387" s="1" t="s">
        <v>167</v>
      </c>
      <c r="E387" s="1" t="s">
        <v>197</v>
      </c>
      <c r="F387" s="1" t="s">
        <v>17</v>
      </c>
      <c r="G387" s="1">
        <v>8</v>
      </c>
      <c r="H387" s="1">
        <v>135</v>
      </c>
      <c r="I387" s="1">
        <v>10</v>
      </c>
      <c r="J387" s="1">
        <v>972</v>
      </c>
      <c r="K387" s="1" t="s">
        <v>235</v>
      </c>
      <c r="L387" s="1" t="str">
        <f t="shared" si="11"/>
        <v>Feb</v>
      </c>
      <c r="M387" s="2">
        <f>(H387-_xlfn.XLOOKUP(D387,Product_Master!A:A,Product_Master!D:D))*G387</f>
        <v>640</v>
      </c>
      <c r="N387" s="13">
        <f t="shared" ref="N387:N450" si="12">M387/J387</f>
        <v>0.65843621399176955</v>
      </c>
      <c r="O387" s="16">
        <f>G387/Inventory!$G$2</f>
        <v>0.14035087719298245</v>
      </c>
      <c r="P387"/>
      <c r="AA387"/>
      <c r="AB387"/>
      <c r="AC387"/>
    </row>
    <row r="388" spans="1:29">
      <c r="A388" s="1" t="s">
        <v>679</v>
      </c>
      <c r="B388" s="1" t="s">
        <v>93</v>
      </c>
      <c r="C388" s="1" t="s">
        <v>72</v>
      </c>
      <c r="D388" s="1" t="s">
        <v>173</v>
      </c>
      <c r="E388" s="1" t="s">
        <v>203</v>
      </c>
      <c r="F388" s="1" t="s">
        <v>17</v>
      </c>
      <c r="G388" s="1">
        <v>3</v>
      </c>
      <c r="H388" s="1">
        <v>139</v>
      </c>
      <c r="I388" s="1">
        <v>5</v>
      </c>
      <c r="J388" s="1">
        <v>396.15</v>
      </c>
      <c r="K388" s="1" t="s">
        <v>46</v>
      </c>
      <c r="L388" s="1" t="str">
        <f t="shared" ref="L388:L451" si="13">TEXT(B388,"mmm")</f>
        <v>Mar</v>
      </c>
      <c r="M388" s="2">
        <f>(H388-_xlfn.XLOOKUP(D388,Product_Master!A:A,Product_Master!D:D))*G388</f>
        <v>210</v>
      </c>
      <c r="N388" s="13">
        <f t="shared" si="12"/>
        <v>0.53010223400227185</v>
      </c>
      <c r="O388" s="16">
        <f>G388/Inventory!$G$2</f>
        <v>5.2631578947368418E-2</v>
      </c>
      <c r="P388"/>
      <c r="AA388"/>
      <c r="AB388"/>
      <c r="AC388"/>
    </row>
    <row r="389" spans="1:29">
      <c r="A389" s="1" t="s">
        <v>680</v>
      </c>
      <c r="B389" s="1" t="s">
        <v>92</v>
      </c>
      <c r="C389" s="1" t="s">
        <v>65</v>
      </c>
      <c r="D389" s="1" t="s">
        <v>153</v>
      </c>
      <c r="E389" s="1" t="s">
        <v>183</v>
      </c>
      <c r="F389" s="1" t="s">
        <v>17</v>
      </c>
      <c r="G389" s="1">
        <v>3</v>
      </c>
      <c r="H389" s="1">
        <v>89</v>
      </c>
      <c r="I389" s="1">
        <v>10</v>
      </c>
      <c r="J389" s="1">
        <v>240.3</v>
      </c>
      <c r="K389" s="1" t="s">
        <v>76</v>
      </c>
      <c r="L389" s="1" t="str">
        <f t="shared" si="13"/>
        <v>Mar</v>
      </c>
      <c r="M389" s="2">
        <f>(H389-_xlfn.XLOOKUP(D389,Product_Master!A:A,Product_Master!D:D))*G389</f>
        <v>195</v>
      </c>
      <c r="N389" s="13">
        <f t="shared" si="12"/>
        <v>0.81148564294631709</v>
      </c>
      <c r="O389" s="16">
        <f>G389/Inventory!$G$2</f>
        <v>5.2631578947368418E-2</v>
      </c>
      <c r="P389"/>
      <c r="AA389"/>
      <c r="AB389"/>
      <c r="AC389"/>
    </row>
    <row r="390" spans="1:29">
      <c r="A390" s="1" t="s">
        <v>681</v>
      </c>
      <c r="B390" s="1" t="s">
        <v>61</v>
      </c>
      <c r="C390" s="1" t="s">
        <v>211</v>
      </c>
      <c r="D390" s="1" t="s">
        <v>157</v>
      </c>
      <c r="E390" s="1" t="s">
        <v>187</v>
      </c>
      <c r="F390" s="1" t="s">
        <v>7</v>
      </c>
      <c r="G390" s="1">
        <v>4</v>
      </c>
      <c r="H390" s="1">
        <v>61</v>
      </c>
      <c r="I390" s="1">
        <v>15</v>
      </c>
      <c r="J390" s="1">
        <v>207.4</v>
      </c>
      <c r="K390" s="1" t="s">
        <v>235</v>
      </c>
      <c r="L390" s="1" t="str">
        <f t="shared" si="13"/>
        <v>Jan</v>
      </c>
      <c r="M390" s="2">
        <f>(H390-_xlfn.XLOOKUP(D390,Product_Master!A:A,Product_Master!D:D))*G390</f>
        <v>204</v>
      </c>
      <c r="N390" s="13">
        <f t="shared" si="12"/>
        <v>0.98360655737704916</v>
      </c>
      <c r="O390" s="16">
        <f>G390/Inventory!$G$2</f>
        <v>7.0175438596491224E-2</v>
      </c>
      <c r="P390"/>
      <c r="AA390"/>
      <c r="AB390"/>
      <c r="AC390"/>
    </row>
    <row r="391" spans="1:29">
      <c r="A391" s="1" t="s">
        <v>682</v>
      </c>
      <c r="B391" s="1" t="s">
        <v>588</v>
      </c>
      <c r="C391" s="1" t="s">
        <v>224</v>
      </c>
      <c r="D391" s="1" t="s">
        <v>163</v>
      </c>
      <c r="E391" s="1" t="s">
        <v>193</v>
      </c>
      <c r="F391" s="1" t="s">
        <v>146</v>
      </c>
      <c r="G391" s="1">
        <v>7</v>
      </c>
      <c r="H391" s="1">
        <v>82</v>
      </c>
      <c r="I391" s="1">
        <v>15</v>
      </c>
      <c r="J391" s="1">
        <v>487.9</v>
      </c>
      <c r="K391" s="1" t="s">
        <v>55</v>
      </c>
      <c r="L391" s="1" t="str">
        <f t="shared" si="13"/>
        <v>Jun</v>
      </c>
      <c r="M391" s="2">
        <f>(H391-_xlfn.XLOOKUP(D391,Product_Master!A:A,Product_Master!D:D))*G391</f>
        <v>280</v>
      </c>
      <c r="N391" s="13">
        <f t="shared" si="12"/>
        <v>0.57388809182209477</v>
      </c>
      <c r="O391" s="16">
        <f>G391/Inventory!$G$2</f>
        <v>0.12280701754385964</v>
      </c>
      <c r="P391"/>
      <c r="AA391"/>
      <c r="AB391"/>
      <c r="AC391"/>
    </row>
    <row r="392" spans="1:29">
      <c r="A392" s="1" t="s">
        <v>683</v>
      </c>
      <c r="B392" s="1" t="s">
        <v>377</v>
      </c>
      <c r="C392" s="1" t="s">
        <v>48</v>
      </c>
      <c r="D392" s="1" t="s">
        <v>151</v>
      </c>
      <c r="E392" s="1" t="s">
        <v>181</v>
      </c>
      <c r="F392" s="1" t="s">
        <v>7</v>
      </c>
      <c r="G392" s="1">
        <v>14</v>
      </c>
      <c r="H392" s="1">
        <v>96</v>
      </c>
      <c r="I392" s="1">
        <v>5</v>
      </c>
      <c r="J392" s="1">
        <v>1276.8</v>
      </c>
      <c r="K392" s="1" t="s">
        <v>215</v>
      </c>
      <c r="L392" s="1" t="str">
        <f t="shared" si="13"/>
        <v>Jun</v>
      </c>
      <c r="M392" s="2">
        <f>(H392-_xlfn.XLOOKUP(D392,Product_Master!A:A,Product_Master!D:D))*G392</f>
        <v>1064</v>
      </c>
      <c r="N392" s="13">
        <f t="shared" si="12"/>
        <v>0.83333333333333337</v>
      </c>
      <c r="O392" s="16">
        <f>G392/Inventory!$G$2</f>
        <v>0.24561403508771928</v>
      </c>
      <c r="P392"/>
      <c r="AA392"/>
      <c r="AB392"/>
      <c r="AC392"/>
    </row>
    <row r="393" spans="1:29">
      <c r="A393" s="1" t="s">
        <v>684</v>
      </c>
      <c r="B393" s="1" t="s">
        <v>116</v>
      </c>
      <c r="C393" s="1" t="s">
        <v>224</v>
      </c>
      <c r="D393" s="1" t="s">
        <v>164</v>
      </c>
      <c r="E393" s="1" t="s">
        <v>194</v>
      </c>
      <c r="F393" s="1" t="s">
        <v>147</v>
      </c>
      <c r="G393" s="1">
        <v>13</v>
      </c>
      <c r="H393" s="1">
        <v>135</v>
      </c>
      <c r="I393" s="1">
        <v>5</v>
      </c>
      <c r="J393" s="1">
        <v>1667.25</v>
      </c>
      <c r="K393" s="1" t="s">
        <v>76</v>
      </c>
      <c r="L393" s="1" t="str">
        <f t="shared" si="13"/>
        <v>Mar</v>
      </c>
      <c r="M393" s="2">
        <f>(H393-_xlfn.XLOOKUP(D393,Product_Master!A:A,Product_Master!D:D))*G393</f>
        <v>559</v>
      </c>
      <c r="N393" s="13">
        <f t="shared" si="12"/>
        <v>0.33528265107212474</v>
      </c>
      <c r="O393" s="16">
        <f>G393/Inventory!$G$2</f>
        <v>0.22807017543859648</v>
      </c>
      <c r="P393"/>
      <c r="AA393"/>
      <c r="AB393"/>
      <c r="AC393"/>
    </row>
    <row r="394" spans="1:29">
      <c r="A394" s="1" t="s">
        <v>685</v>
      </c>
      <c r="B394" s="1" t="s">
        <v>61</v>
      </c>
      <c r="C394" s="1" t="s">
        <v>72</v>
      </c>
      <c r="D394" s="1" t="s">
        <v>177</v>
      </c>
      <c r="E394" s="1" t="s">
        <v>207</v>
      </c>
      <c r="F394" s="1" t="s">
        <v>146</v>
      </c>
      <c r="G394" s="1">
        <v>12</v>
      </c>
      <c r="H394" s="1">
        <v>145</v>
      </c>
      <c r="I394" s="1">
        <v>15</v>
      </c>
      <c r="J394" s="1">
        <v>1479</v>
      </c>
      <c r="K394" s="1" t="s">
        <v>46</v>
      </c>
      <c r="L394" s="1" t="str">
        <f t="shared" si="13"/>
        <v>Jan</v>
      </c>
      <c r="M394" s="2">
        <f>(H394-_xlfn.XLOOKUP(D394,Product_Master!A:A,Product_Master!D:D))*G394</f>
        <v>984</v>
      </c>
      <c r="N394" s="13">
        <f t="shared" si="12"/>
        <v>0.66531440162271804</v>
      </c>
      <c r="O394" s="16">
        <f>G394/Inventory!$G$2</f>
        <v>0.21052631578947367</v>
      </c>
      <c r="P394"/>
      <c r="AA394"/>
      <c r="AB394"/>
      <c r="AC394"/>
    </row>
    <row r="395" spans="1:29">
      <c r="A395" s="1" t="s">
        <v>686</v>
      </c>
      <c r="B395" s="1" t="s">
        <v>99</v>
      </c>
      <c r="C395" s="1" t="s">
        <v>65</v>
      </c>
      <c r="D395" s="1" t="s">
        <v>175</v>
      </c>
      <c r="E395" s="1" t="s">
        <v>205</v>
      </c>
      <c r="F395" s="1" t="s">
        <v>10</v>
      </c>
      <c r="G395" s="1">
        <v>2</v>
      </c>
      <c r="H395" s="1">
        <v>113</v>
      </c>
      <c r="I395" s="1">
        <v>5</v>
      </c>
      <c r="J395" s="1">
        <v>214.7</v>
      </c>
      <c r="K395" s="1" t="s">
        <v>55</v>
      </c>
      <c r="L395" s="1" t="str">
        <f t="shared" si="13"/>
        <v>Apr</v>
      </c>
      <c r="M395" s="2">
        <f>(H395-_xlfn.XLOOKUP(D395,Product_Master!A:A,Product_Master!D:D))*G395</f>
        <v>100</v>
      </c>
      <c r="N395" s="13">
        <f t="shared" si="12"/>
        <v>0.4657661853749418</v>
      </c>
      <c r="O395" s="16">
        <f>G395/Inventory!$G$2</f>
        <v>3.5087719298245612E-2</v>
      </c>
      <c r="P395"/>
      <c r="AA395"/>
      <c r="AB395"/>
      <c r="AC395"/>
    </row>
    <row r="396" spans="1:29">
      <c r="A396" s="1" t="s">
        <v>687</v>
      </c>
      <c r="B396" s="1" t="s">
        <v>407</v>
      </c>
      <c r="C396" s="1" t="s">
        <v>72</v>
      </c>
      <c r="D396" s="1" t="s">
        <v>158</v>
      </c>
      <c r="E396" s="1" t="s">
        <v>188</v>
      </c>
      <c r="F396" s="1" t="s">
        <v>10</v>
      </c>
      <c r="G396" s="1">
        <v>8</v>
      </c>
      <c r="H396" s="1">
        <v>65</v>
      </c>
      <c r="I396" s="1">
        <v>15</v>
      </c>
      <c r="J396" s="1">
        <v>442</v>
      </c>
      <c r="K396" s="1" t="s">
        <v>76</v>
      </c>
      <c r="L396" s="1" t="str">
        <f t="shared" si="13"/>
        <v>May</v>
      </c>
      <c r="M396" s="2">
        <f>(H396-_xlfn.XLOOKUP(D396,Product_Master!A:A,Product_Master!D:D))*G396</f>
        <v>176</v>
      </c>
      <c r="N396" s="13">
        <f t="shared" si="12"/>
        <v>0.39819004524886875</v>
      </c>
      <c r="O396" s="16">
        <f>G396/Inventory!$G$2</f>
        <v>0.14035087719298245</v>
      </c>
      <c r="P396"/>
      <c r="AA396"/>
      <c r="AB396"/>
      <c r="AC396"/>
    </row>
    <row r="397" spans="1:29">
      <c r="A397" s="1" t="s">
        <v>688</v>
      </c>
      <c r="B397" s="1" t="s">
        <v>689</v>
      </c>
      <c r="C397" s="1" t="s">
        <v>48</v>
      </c>
      <c r="D397" s="1" t="s">
        <v>149</v>
      </c>
      <c r="E397" s="1" t="s">
        <v>179</v>
      </c>
      <c r="F397" s="1" t="s">
        <v>17</v>
      </c>
      <c r="G397" s="1">
        <v>1</v>
      </c>
      <c r="H397" s="1">
        <v>98</v>
      </c>
      <c r="I397" s="1">
        <v>15</v>
      </c>
      <c r="J397" s="1">
        <v>83.3</v>
      </c>
      <c r="K397" s="1" t="s">
        <v>46</v>
      </c>
      <c r="L397" s="1" t="str">
        <f t="shared" si="13"/>
        <v>May</v>
      </c>
      <c r="M397" s="2">
        <f>(H397-_xlfn.XLOOKUP(D397,Product_Master!A:A,Product_Master!D:D))*G397</f>
        <v>22</v>
      </c>
      <c r="N397" s="13">
        <f t="shared" si="12"/>
        <v>0.26410564225690275</v>
      </c>
      <c r="O397" s="16">
        <f>G397/Inventory!$G$2</f>
        <v>1.7543859649122806E-2</v>
      </c>
      <c r="P397"/>
      <c r="AA397"/>
      <c r="AB397"/>
      <c r="AC397"/>
    </row>
    <row r="398" spans="1:29">
      <c r="A398" s="1" t="s">
        <v>690</v>
      </c>
      <c r="B398" s="1" t="s">
        <v>636</v>
      </c>
      <c r="C398" s="1" t="s">
        <v>259</v>
      </c>
      <c r="D398" s="1" t="s">
        <v>168</v>
      </c>
      <c r="E398" s="1" t="s">
        <v>198</v>
      </c>
      <c r="F398" s="1" t="s">
        <v>17</v>
      </c>
      <c r="G398" s="1">
        <v>13</v>
      </c>
      <c r="H398" s="1">
        <v>119</v>
      </c>
      <c r="I398" s="1">
        <v>5</v>
      </c>
      <c r="J398" s="1">
        <v>1469.65</v>
      </c>
      <c r="K398" s="1" t="s">
        <v>46</v>
      </c>
      <c r="L398" s="1" t="str">
        <f t="shared" si="13"/>
        <v>Apr</v>
      </c>
      <c r="M398" s="2">
        <f>(H398-_xlfn.XLOOKUP(D398,Product_Master!A:A,Product_Master!D:D))*G398</f>
        <v>611</v>
      </c>
      <c r="N398" s="13">
        <f t="shared" si="12"/>
        <v>0.41574524546660768</v>
      </c>
      <c r="O398" s="16">
        <f>G398/Inventory!$G$2</f>
        <v>0.22807017543859648</v>
      </c>
      <c r="P398"/>
      <c r="AA398"/>
      <c r="AB398"/>
      <c r="AC398"/>
    </row>
    <row r="399" spans="1:29">
      <c r="A399" s="1" t="s">
        <v>691</v>
      </c>
      <c r="B399" s="1" t="s">
        <v>241</v>
      </c>
      <c r="C399" s="1" t="s">
        <v>211</v>
      </c>
      <c r="D399" s="1" t="s">
        <v>161</v>
      </c>
      <c r="E399" s="1" t="s">
        <v>191</v>
      </c>
      <c r="F399" s="1" t="s">
        <v>147</v>
      </c>
      <c r="G399" s="1">
        <v>8</v>
      </c>
      <c r="H399" s="1">
        <v>144</v>
      </c>
      <c r="I399" s="1">
        <v>10</v>
      </c>
      <c r="J399" s="1">
        <v>1036.8</v>
      </c>
      <c r="K399" s="1" t="s">
        <v>215</v>
      </c>
      <c r="L399" s="1" t="str">
        <f t="shared" si="13"/>
        <v>May</v>
      </c>
      <c r="M399" s="2">
        <f>(H399-_xlfn.XLOOKUP(D399,Product_Master!A:A,Product_Master!D:D))*G399</f>
        <v>448</v>
      </c>
      <c r="N399" s="13">
        <f t="shared" si="12"/>
        <v>0.4320987654320988</v>
      </c>
      <c r="O399" s="16">
        <f>G399/Inventory!$G$2</f>
        <v>0.14035087719298245</v>
      </c>
      <c r="P399"/>
      <c r="AA399"/>
      <c r="AB399"/>
      <c r="AC399"/>
    </row>
    <row r="400" spans="1:29">
      <c r="A400" s="1" t="s">
        <v>692</v>
      </c>
      <c r="B400" s="1" t="s">
        <v>251</v>
      </c>
      <c r="C400" s="1" t="s">
        <v>222</v>
      </c>
      <c r="D400" s="1" t="s">
        <v>11</v>
      </c>
      <c r="E400" s="1" t="s">
        <v>12</v>
      </c>
      <c r="F400" s="1" t="s">
        <v>147</v>
      </c>
      <c r="G400" s="1">
        <v>12</v>
      </c>
      <c r="H400" s="1">
        <v>86</v>
      </c>
      <c r="I400" s="1">
        <v>10</v>
      </c>
      <c r="J400" s="1">
        <v>928.8</v>
      </c>
      <c r="K400" s="1" t="s">
        <v>235</v>
      </c>
      <c r="L400" s="1" t="str">
        <f t="shared" si="13"/>
        <v>May</v>
      </c>
      <c r="M400" s="2">
        <f>(H400-_xlfn.XLOOKUP(D400,Product_Master!A:A,Product_Master!D:D))*G400</f>
        <v>240</v>
      </c>
      <c r="N400" s="13">
        <f t="shared" si="12"/>
        <v>0.2583979328165375</v>
      </c>
      <c r="O400" s="16">
        <f>G400/Inventory!$G$2</f>
        <v>0.21052631578947367</v>
      </c>
      <c r="P400"/>
      <c r="AA400"/>
      <c r="AB400"/>
      <c r="AC400"/>
    </row>
    <row r="401" spans="1:29">
      <c r="A401" s="1" t="s">
        <v>693</v>
      </c>
      <c r="B401" s="1" t="s">
        <v>135</v>
      </c>
      <c r="C401" s="1" t="s">
        <v>69</v>
      </c>
      <c r="D401" s="1" t="s">
        <v>163</v>
      </c>
      <c r="E401" s="1" t="s">
        <v>193</v>
      </c>
      <c r="F401" s="1" t="s">
        <v>146</v>
      </c>
      <c r="G401" s="1">
        <v>7</v>
      </c>
      <c r="H401" s="1">
        <v>82</v>
      </c>
      <c r="I401" s="1">
        <v>0</v>
      </c>
      <c r="J401" s="1">
        <v>574</v>
      </c>
      <c r="K401" s="1" t="s">
        <v>55</v>
      </c>
      <c r="L401" s="1" t="str">
        <f t="shared" si="13"/>
        <v>Feb</v>
      </c>
      <c r="M401" s="2">
        <f>(H401-_xlfn.XLOOKUP(D401,Product_Master!A:A,Product_Master!D:D))*G401</f>
        <v>280</v>
      </c>
      <c r="N401" s="13">
        <f t="shared" si="12"/>
        <v>0.48780487804878048</v>
      </c>
      <c r="O401" s="16">
        <f>G401/Inventory!$G$2</f>
        <v>0.12280701754385964</v>
      </c>
      <c r="P401"/>
      <c r="AA401"/>
      <c r="AB401"/>
      <c r="AC401"/>
    </row>
    <row r="402" spans="1:29">
      <c r="A402" s="1" t="s">
        <v>694</v>
      </c>
      <c r="B402" s="1" t="s">
        <v>115</v>
      </c>
      <c r="C402" s="1" t="s">
        <v>54</v>
      </c>
      <c r="D402" s="1" t="s">
        <v>164</v>
      </c>
      <c r="E402" s="1" t="s">
        <v>194</v>
      </c>
      <c r="F402" s="1" t="s">
        <v>147</v>
      </c>
      <c r="G402" s="1">
        <v>8</v>
      </c>
      <c r="H402" s="1">
        <v>135</v>
      </c>
      <c r="I402" s="1">
        <v>0</v>
      </c>
      <c r="J402" s="1">
        <v>1080</v>
      </c>
      <c r="K402" s="1" t="s">
        <v>76</v>
      </c>
      <c r="L402" s="1" t="str">
        <f t="shared" si="13"/>
        <v>Feb</v>
      </c>
      <c r="M402" s="2">
        <f>(H402-_xlfn.XLOOKUP(D402,Product_Master!A:A,Product_Master!D:D))*G402</f>
        <v>344</v>
      </c>
      <c r="N402" s="13">
        <f t="shared" si="12"/>
        <v>0.31851851851851853</v>
      </c>
      <c r="O402" s="16">
        <f>G402/Inventory!$G$2</f>
        <v>0.14035087719298245</v>
      </c>
      <c r="P402"/>
      <c r="AA402"/>
      <c r="AB402"/>
      <c r="AC402"/>
    </row>
    <row r="403" spans="1:29">
      <c r="A403" s="1" t="s">
        <v>695</v>
      </c>
      <c r="B403" s="1" t="s">
        <v>458</v>
      </c>
      <c r="C403" s="1" t="s">
        <v>48</v>
      </c>
      <c r="D403" s="1" t="s">
        <v>153</v>
      </c>
      <c r="E403" s="1" t="s">
        <v>183</v>
      </c>
      <c r="F403" s="1" t="s">
        <v>17</v>
      </c>
      <c r="G403" s="1">
        <v>4</v>
      </c>
      <c r="H403" s="1">
        <v>89</v>
      </c>
      <c r="I403" s="1">
        <v>5</v>
      </c>
      <c r="J403" s="1">
        <v>338.2</v>
      </c>
      <c r="K403" s="1" t="s">
        <v>76</v>
      </c>
      <c r="L403" s="1" t="str">
        <f t="shared" si="13"/>
        <v>May</v>
      </c>
      <c r="M403" s="2">
        <f>(H403-_xlfn.XLOOKUP(D403,Product_Master!A:A,Product_Master!D:D))*G403</f>
        <v>260</v>
      </c>
      <c r="N403" s="13">
        <f t="shared" si="12"/>
        <v>0.76877587226493205</v>
      </c>
      <c r="O403" s="16">
        <f>G403/Inventory!$G$2</f>
        <v>7.0175438596491224E-2</v>
      </c>
      <c r="P403"/>
      <c r="AA403"/>
      <c r="AB403"/>
      <c r="AC403"/>
    </row>
    <row r="404" spans="1:29">
      <c r="A404" s="1" t="s">
        <v>696</v>
      </c>
      <c r="B404" s="1" t="s">
        <v>229</v>
      </c>
      <c r="C404" s="1" t="s">
        <v>65</v>
      </c>
      <c r="D404" s="1" t="s">
        <v>150</v>
      </c>
      <c r="E404" s="1" t="s">
        <v>180</v>
      </c>
      <c r="F404" s="1" t="s">
        <v>17</v>
      </c>
      <c r="G404" s="1">
        <v>12</v>
      </c>
      <c r="H404" s="1">
        <v>143</v>
      </c>
      <c r="I404" s="1">
        <v>15</v>
      </c>
      <c r="J404" s="1">
        <v>1458.6</v>
      </c>
      <c r="K404" s="1" t="s">
        <v>55</v>
      </c>
      <c r="L404" s="1" t="str">
        <f t="shared" si="13"/>
        <v>Apr</v>
      </c>
      <c r="M404" s="2">
        <f>(H404-_xlfn.XLOOKUP(D404,Product_Master!A:A,Product_Master!D:D))*G404</f>
        <v>504</v>
      </c>
      <c r="N404" s="13">
        <f t="shared" si="12"/>
        <v>0.34553681612505144</v>
      </c>
      <c r="O404" s="16">
        <f>G404/Inventory!$G$2</f>
        <v>0.21052631578947367</v>
      </c>
      <c r="P404"/>
      <c r="AA404"/>
      <c r="AB404"/>
      <c r="AC404"/>
    </row>
    <row r="405" spans="1:29">
      <c r="A405" s="1" t="s">
        <v>697</v>
      </c>
      <c r="B405" s="1" t="s">
        <v>129</v>
      </c>
      <c r="C405" s="1" t="s">
        <v>57</v>
      </c>
      <c r="D405" s="1" t="s">
        <v>168</v>
      </c>
      <c r="E405" s="1" t="s">
        <v>198</v>
      </c>
      <c r="F405" s="1" t="s">
        <v>17</v>
      </c>
      <c r="G405" s="1">
        <v>10</v>
      </c>
      <c r="H405" s="1">
        <v>119</v>
      </c>
      <c r="I405" s="1">
        <v>0</v>
      </c>
      <c r="J405" s="1">
        <v>1190</v>
      </c>
      <c r="K405" s="1" t="s">
        <v>76</v>
      </c>
      <c r="L405" s="1" t="str">
        <f t="shared" si="13"/>
        <v>Feb</v>
      </c>
      <c r="M405" s="2">
        <f>(H405-_xlfn.XLOOKUP(D405,Product_Master!A:A,Product_Master!D:D))*G405</f>
        <v>470</v>
      </c>
      <c r="N405" s="13">
        <f t="shared" si="12"/>
        <v>0.3949579831932773</v>
      </c>
      <c r="O405" s="16">
        <f>G405/Inventory!$G$2</f>
        <v>0.17543859649122806</v>
      </c>
      <c r="P405"/>
      <c r="AA405"/>
      <c r="AB405"/>
      <c r="AC405"/>
    </row>
    <row r="406" spans="1:29">
      <c r="A406" s="1" t="s">
        <v>698</v>
      </c>
      <c r="B406" s="1" t="s">
        <v>262</v>
      </c>
      <c r="C406" s="1" t="s">
        <v>72</v>
      </c>
      <c r="D406" s="1" t="s">
        <v>160</v>
      </c>
      <c r="E406" s="1" t="s">
        <v>190</v>
      </c>
      <c r="F406" s="1" t="s">
        <v>7</v>
      </c>
      <c r="G406" s="1">
        <v>5</v>
      </c>
      <c r="H406" s="1">
        <v>37</v>
      </c>
      <c r="I406" s="1">
        <v>15</v>
      </c>
      <c r="J406" s="1">
        <v>157.25</v>
      </c>
      <c r="K406" s="1" t="s">
        <v>46</v>
      </c>
      <c r="L406" s="1" t="str">
        <f t="shared" si="13"/>
        <v>Jan</v>
      </c>
      <c r="M406" s="2">
        <f>(H406-_xlfn.XLOOKUP(D406,Product_Master!A:A,Product_Master!D:D))*G406</f>
        <v>130</v>
      </c>
      <c r="N406" s="13">
        <f t="shared" si="12"/>
        <v>0.82670906200317962</v>
      </c>
      <c r="O406" s="16">
        <f>G406/Inventory!$G$2</f>
        <v>8.771929824561403E-2</v>
      </c>
      <c r="P406"/>
      <c r="AA406"/>
      <c r="AB406"/>
      <c r="AC406"/>
    </row>
    <row r="407" spans="1:29">
      <c r="A407" s="1" t="s">
        <v>699</v>
      </c>
      <c r="B407" s="1" t="s">
        <v>700</v>
      </c>
      <c r="C407" s="1" t="s">
        <v>54</v>
      </c>
      <c r="D407" s="1" t="s">
        <v>163</v>
      </c>
      <c r="E407" s="1" t="s">
        <v>193</v>
      </c>
      <c r="F407" s="1" t="s">
        <v>146</v>
      </c>
      <c r="G407" s="1">
        <v>6</v>
      </c>
      <c r="H407" s="1">
        <v>82</v>
      </c>
      <c r="I407" s="1">
        <v>0</v>
      </c>
      <c r="J407" s="1">
        <v>492</v>
      </c>
      <c r="K407" s="1" t="s">
        <v>76</v>
      </c>
      <c r="L407" s="1" t="str">
        <f t="shared" si="13"/>
        <v>May</v>
      </c>
      <c r="M407" s="2">
        <f>(H407-_xlfn.XLOOKUP(D407,Product_Master!A:A,Product_Master!D:D))*G407</f>
        <v>240</v>
      </c>
      <c r="N407" s="13">
        <f t="shared" si="12"/>
        <v>0.48780487804878048</v>
      </c>
      <c r="O407" s="16">
        <f>G407/Inventory!$G$2</f>
        <v>0.10526315789473684</v>
      </c>
      <c r="P407"/>
      <c r="AA407"/>
      <c r="AB407"/>
      <c r="AC407"/>
    </row>
    <row r="408" spans="1:29">
      <c r="A408" s="1" t="s">
        <v>701</v>
      </c>
      <c r="B408" s="1" t="s">
        <v>599</v>
      </c>
      <c r="C408" s="1" t="s">
        <v>69</v>
      </c>
      <c r="D408" s="1" t="s">
        <v>160</v>
      </c>
      <c r="E408" s="1" t="s">
        <v>190</v>
      </c>
      <c r="F408" s="1" t="s">
        <v>7</v>
      </c>
      <c r="G408" s="1">
        <v>14</v>
      </c>
      <c r="H408" s="1">
        <v>37</v>
      </c>
      <c r="I408" s="1">
        <v>5</v>
      </c>
      <c r="J408" s="1">
        <v>492.1</v>
      </c>
      <c r="K408" s="1" t="s">
        <v>215</v>
      </c>
      <c r="L408" s="1" t="str">
        <f t="shared" si="13"/>
        <v>Apr</v>
      </c>
      <c r="M408" s="2">
        <f>(H408-_xlfn.XLOOKUP(D408,Product_Master!A:A,Product_Master!D:D))*G408</f>
        <v>364</v>
      </c>
      <c r="N408" s="13">
        <f t="shared" si="12"/>
        <v>0.73968705547652913</v>
      </c>
      <c r="O408" s="16">
        <f>G408/Inventory!$G$2</f>
        <v>0.24561403508771928</v>
      </c>
      <c r="P408"/>
      <c r="AA408"/>
      <c r="AB408"/>
      <c r="AC408"/>
    </row>
    <row r="409" spans="1:29">
      <c r="A409" s="1" t="s">
        <v>702</v>
      </c>
      <c r="B409" s="1" t="s">
        <v>79</v>
      </c>
      <c r="C409" s="1" t="s">
        <v>224</v>
      </c>
      <c r="D409" s="1" t="s">
        <v>159</v>
      </c>
      <c r="E409" s="1" t="s">
        <v>189</v>
      </c>
      <c r="F409" s="1" t="s">
        <v>146</v>
      </c>
      <c r="G409" s="1">
        <v>5</v>
      </c>
      <c r="H409" s="1">
        <v>147</v>
      </c>
      <c r="I409" s="1">
        <v>15</v>
      </c>
      <c r="J409" s="1">
        <v>624.75</v>
      </c>
      <c r="K409" s="1" t="s">
        <v>49</v>
      </c>
      <c r="L409" s="1" t="str">
        <f t="shared" si="13"/>
        <v>Mar</v>
      </c>
      <c r="M409" s="2">
        <f>(H409-_xlfn.XLOOKUP(D409,Product_Master!A:A,Product_Master!D:D))*G409</f>
        <v>430</v>
      </c>
      <c r="N409" s="13">
        <f t="shared" si="12"/>
        <v>0.68827531012404963</v>
      </c>
      <c r="O409" s="16">
        <f>G409/Inventory!$G$2</f>
        <v>8.771929824561403E-2</v>
      </c>
      <c r="P409"/>
      <c r="AA409"/>
      <c r="AB409"/>
      <c r="AC409"/>
    </row>
    <row r="410" spans="1:29">
      <c r="A410" s="1" t="s">
        <v>703</v>
      </c>
      <c r="B410" s="1" t="s">
        <v>612</v>
      </c>
      <c r="C410" s="1" t="s">
        <v>224</v>
      </c>
      <c r="D410" s="1" t="s">
        <v>160</v>
      </c>
      <c r="E410" s="1" t="s">
        <v>190</v>
      </c>
      <c r="F410" s="1" t="s">
        <v>7</v>
      </c>
      <c r="G410" s="1">
        <v>9</v>
      </c>
      <c r="H410" s="1">
        <v>37</v>
      </c>
      <c r="I410" s="1">
        <v>15</v>
      </c>
      <c r="J410" s="1">
        <v>283.05</v>
      </c>
      <c r="K410" s="1" t="s">
        <v>235</v>
      </c>
      <c r="L410" s="1" t="str">
        <f t="shared" si="13"/>
        <v>Mar</v>
      </c>
      <c r="M410" s="2">
        <f>(H410-_xlfn.XLOOKUP(D410,Product_Master!A:A,Product_Master!D:D))*G410</f>
        <v>234</v>
      </c>
      <c r="N410" s="13">
        <f t="shared" si="12"/>
        <v>0.82670906200317962</v>
      </c>
      <c r="O410" s="16">
        <f>G410/Inventory!$G$2</f>
        <v>0.15789473684210525</v>
      </c>
      <c r="P410"/>
      <c r="AA410"/>
      <c r="AB410"/>
      <c r="AC410"/>
    </row>
    <row r="411" spans="1:29">
      <c r="A411" s="1" t="s">
        <v>704</v>
      </c>
      <c r="B411" s="1" t="s">
        <v>105</v>
      </c>
      <c r="C411" s="1" t="s">
        <v>259</v>
      </c>
      <c r="D411" s="1" t="s">
        <v>150</v>
      </c>
      <c r="E411" s="1" t="s">
        <v>180</v>
      </c>
      <c r="F411" s="1" t="s">
        <v>17</v>
      </c>
      <c r="G411" s="1">
        <v>3</v>
      </c>
      <c r="H411" s="1">
        <v>143</v>
      </c>
      <c r="I411" s="1">
        <v>15</v>
      </c>
      <c r="J411" s="1">
        <v>364.65</v>
      </c>
      <c r="K411" s="1" t="s">
        <v>46</v>
      </c>
      <c r="L411" s="1" t="str">
        <f t="shared" si="13"/>
        <v>Mar</v>
      </c>
      <c r="M411" s="2">
        <f>(H411-_xlfn.XLOOKUP(D411,Product_Master!A:A,Product_Master!D:D))*G411</f>
        <v>126</v>
      </c>
      <c r="N411" s="13">
        <f t="shared" si="12"/>
        <v>0.34553681612505144</v>
      </c>
      <c r="O411" s="16">
        <f>G411/Inventory!$G$2</f>
        <v>5.2631578947368418E-2</v>
      </c>
      <c r="P411"/>
      <c r="AA411"/>
      <c r="AB411"/>
      <c r="AC411"/>
    </row>
    <row r="412" spans="1:29">
      <c r="A412" s="1" t="s">
        <v>705</v>
      </c>
      <c r="B412" s="1" t="s">
        <v>103</v>
      </c>
      <c r="C412" s="1" t="s">
        <v>72</v>
      </c>
      <c r="D412" s="1" t="s">
        <v>153</v>
      </c>
      <c r="E412" s="1" t="s">
        <v>183</v>
      </c>
      <c r="F412" s="1" t="s">
        <v>17</v>
      </c>
      <c r="G412" s="1">
        <v>4</v>
      </c>
      <c r="H412" s="1">
        <v>89</v>
      </c>
      <c r="I412" s="1">
        <v>15</v>
      </c>
      <c r="J412" s="1">
        <v>302.60000000000002</v>
      </c>
      <c r="K412" s="1" t="s">
        <v>215</v>
      </c>
      <c r="L412" s="1" t="str">
        <f t="shared" si="13"/>
        <v>Apr</v>
      </c>
      <c r="M412" s="2">
        <f>(H412-_xlfn.XLOOKUP(D412,Product_Master!A:A,Product_Master!D:D))*G412</f>
        <v>260</v>
      </c>
      <c r="N412" s="13">
        <f t="shared" si="12"/>
        <v>0.85922009253139453</v>
      </c>
      <c r="O412" s="16">
        <f>G412/Inventory!$G$2</f>
        <v>7.0175438596491224E-2</v>
      </c>
      <c r="P412"/>
      <c r="AA412"/>
      <c r="AB412"/>
      <c r="AC412"/>
    </row>
    <row r="413" spans="1:29">
      <c r="A413" s="1" t="s">
        <v>706</v>
      </c>
      <c r="B413" s="1" t="s">
        <v>479</v>
      </c>
      <c r="C413" s="1" t="s">
        <v>54</v>
      </c>
      <c r="D413" s="1" t="s">
        <v>149</v>
      </c>
      <c r="E413" s="1" t="s">
        <v>179</v>
      </c>
      <c r="F413" s="1" t="s">
        <v>17</v>
      </c>
      <c r="G413" s="1">
        <v>15</v>
      </c>
      <c r="H413" s="1">
        <v>98</v>
      </c>
      <c r="I413" s="1">
        <v>15</v>
      </c>
      <c r="J413" s="1">
        <v>1249.5</v>
      </c>
      <c r="K413" s="1" t="s">
        <v>76</v>
      </c>
      <c r="L413" s="1" t="str">
        <f t="shared" si="13"/>
        <v>May</v>
      </c>
      <c r="M413" s="2">
        <f>(H413-_xlfn.XLOOKUP(D413,Product_Master!A:A,Product_Master!D:D))*G413</f>
        <v>330</v>
      </c>
      <c r="N413" s="13">
        <f t="shared" si="12"/>
        <v>0.26410564225690275</v>
      </c>
      <c r="O413" s="16">
        <f>G413/Inventory!$G$2</f>
        <v>0.26315789473684209</v>
      </c>
      <c r="P413"/>
      <c r="AA413"/>
      <c r="AB413"/>
      <c r="AC413"/>
    </row>
    <row r="414" spans="1:29">
      <c r="A414" s="1" t="s">
        <v>707</v>
      </c>
      <c r="B414" s="1" t="s">
        <v>58</v>
      </c>
      <c r="C414" s="1" t="s">
        <v>45</v>
      </c>
      <c r="D414" s="1" t="s">
        <v>163</v>
      </c>
      <c r="E414" s="1" t="s">
        <v>193</v>
      </c>
      <c r="F414" s="1" t="s">
        <v>146</v>
      </c>
      <c r="G414" s="1">
        <v>9</v>
      </c>
      <c r="H414" s="1">
        <v>82</v>
      </c>
      <c r="I414" s="1">
        <v>5</v>
      </c>
      <c r="J414" s="1">
        <v>701.1</v>
      </c>
      <c r="K414" s="1" t="s">
        <v>76</v>
      </c>
      <c r="L414" s="1" t="str">
        <f t="shared" si="13"/>
        <v>Apr</v>
      </c>
      <c r="M414" s="2">
        <f>(H414-_xlfn.XLOOKUP(D414,Product_Master!A:A,Product_Master!D:D))*G414</f>
        <v>360</v>
      </c>
      <c r="N414" s="13">
        <f t="shared" si="12"/>
        <v>0.51347881899871628</v>
      </c>
      <c r="O414" s="16">
        <f>G414/Inventory!$G$2</f>
        <v>0.15789473684210525</v>
      </c>
      <c r="P414"/>
      <c r="AA414"/>
      <c r="AB414"/>
      <c r="AC414"/>
    </row>
    <row r="415" spans="1:29">
      <c r="A415" s="1" t="s">
        <v>708</v>
      </c>
      <c r="B415" s="1" t="s">
        <v>286</v>
      </c>
      <c r="C415" s="1" t="s">
        <v>259</v>
      </c>
      <c r="D415" s="1" t="s">
        <v>5</v>
      </c>
      <c r="E415" s="1" t="s">
        <v>6</v>
      </c>
      <c r="F415" s="1" t="s">
        <v>7</v>
      </c>
      <c r="G415" s="1">
        <v>3</v>
      </c>
      <c r="H415" s="1">
        <v>74</v>
      </c>
      <c r="I415" s="1">
        <v>5</v>
      </c>
      <c r="J415" s="1">
        <v>210.9</v>
      </c>
      <c r="K415" s="1" t="s">
        <v>76</v>
      </c>
      <c r="L415" s="1" t="str">
        <f t="shared" si="13"/>
        <v>Jun</v>
      </c>
      <c r="M415" s="2">
        <f>(H415-_xlfn.XLOOKUP(D415,Product_Master!A:A,Product_Master!D:D))*G415</f>
        <v>84</v>
      </c>
      <c r="N415" s="13">
        <f t="shared" si="12"/>
        <v>0.39829302987197723</v>
      </c>
      <c r="O415" s="16">
        <f>G415/Inventory!$G$2</f>
        <v>5.2631578947368418E-2</v>
      </c>
      <c r="P415"/>
      <c r="AA415"/>
      <c r="AB415"/>
      <c r="AC415"/>
    </row>
    <row r="416" spans="1:29">
      <c r="A416" s="1" t="s">
        <v>709</v>
      </c>
      <c r="B416" s="1" t="s">
        <v>710</v>
      </c>
      <c r="C416" s="1" t="s">
        <v>57</v>
      </c>
      <c r="D416" s="1" t="s">
        <v>155</v>
      </c>
      <c r="E416" s="1" t="s">
        <v>185</v>
      </c>
      <c r="F416" s="1" t="s">
        <v>7</v>
      </c>
      <c r="G416" s="1">
        <v>8</v>
      </c>
      <c r="H416" s="1">
        <v>156</v>
      </c>
      <c r="I416" s="1">
        <v>15</v>
      </c>
      <c r="J416" s="1">
        <v>1060.8</v>
      </c>
      <c r="K416" s="1" t="s">
        <v>76</v>
      </c>
      <c r="L416" s="1" t="str">
        <f t="shared" si="13"/>
        <v>Jun</v>
      </c>
      <c r="M416" s="2">
        <f>(H416-_xlfn.XLOOKUP(D416,Product_Master!A:A,Product_Master!D:D))*G416</f>
        <v>504</v>
      </c>
      <c r="N416" s="13">
        <f t="shared" si="12"/>
        <v>0.47511312217194573</v>
      </c>
      <c r="O416" s="16">
        <f>G416/Inventory!$G$2</f>
        <v>0.14035087719298245</v>
      </c>
      <c r="P416"/>
      <c r="AA416"/>
      <c r="AB416"/>
      <c r="AC416"/>
    </row>
    <row r="417" spans="1:29">
      <c r="A417" s="1" t="s">
        <v>711</v>
      </c>
      <c r="B417" s="1" t="s">
        <v>570</v>
      </c>
      <c r="C417" s="1" t="s">
        <v>65</v>
      </c>
      <c r="D417" s="1" t="s">
        <v>156</v>
      </c>
      <c r="E417" s="1" t="s">
        <v>186</v>
      </c>
      <c r="F417" s="1" t="s">
        <v>147</v>
      </c>
      <c r="G417" s="1">
        <v>14</v>
      </c>
      <c r="H417" s="1">
        <v>95</v>
      </c>
      <c r="I417" s="1">
        <v>0</v>
      </c>
      <c r="J417" s="1">
        <v>1330</v>
      </c>
      <c r="K417" s="1" t="s">
        <v>49</v>
      </c>
      <c r="L417" s="1" t="str">
        <f t="shared" si="13"/>
        <v>May</v>
      </c>
      <c r="M417" s="2">
        <f>(H417-_xlfn.XLOOKUP(D417,Product_Master!A:A,Product_Master!D:D))*G417</f>
        <v>1036</v>
      </c>
      <c r="N417" s="13">
        <f t="shared" si="12"/>
        <v>0.77894736842105261</v>
      </c>
      <c r="O417" s="16">
        <f>G417/Inventory!$G$2</f>
        <v>0.24561403508771928</v>
      </c>
      <c r="P417"/>
      <c r="AA417"/>
      <c r="AB417"/>
      <c r="AC417"/>
    </row>
    <row r="418" spans="1:29">
      <c r="A418" s="1" t="s">
        <v>712</v>
      </c>
      <c r="B418" s="1" t="s">
        <v>86</v>
      </c>
      <c r="C418" s="1" t="s">
        <v>48</v>
      </c>
      <c r="D418" s="1" t="s">
        <v>5</v>
      </c>
      <c r="E418" s="1" t="s">
        <v>6</v>
      </c>
      <c r="F418" s="1" t="s">
        <v>7</v>
      </c>
      <c r="G418" s="1">
        <v>13</v>
      </c>
      <c r="H418" s="1">
        <v>74</v>
      </c>
      <c r="I418" s="1">
        <v>0</v>
      </c>
      <c r="J418" s="1">
        <v>962</v>
      </c>
      <c r="K418" s="1" t="s">
        <v>46</v>
      </c>
      <c r="L418" s="1" t="str">
        <f t="shared" si="13"/>
        <v>Jan</v>
      </c>
      <c r="M418" s="2">
        <f>(H418-_xlfn.XLOOKUP(D418,Product_Master!A:A,Product_Master!D:D))*G418</f>
        <v>364</v>
      </c>
      <c r="N418" s="13">
        <f t="shared" si="12"/>
        <v>0.3783783783783784</v>
      </c>
      <c r="O418" s="16">
        <f>G418/Inventory!$G$2</f>
        <v>0.22807017543859648</v>
      </c>
      <c r="P418"/>
      <c r="AA418"/>
      <c r="AB418"/>
      <c r="AC418"/>
    </row>
    <row r="419" spans="1:29">
      <c r="A419" s="1" t="s">
        <v>713</v>
      </c>
      <c r="B419" s="1" t="s">
        <v>603</v>
      </c>
      <c r="C419" s="1" t="s">
        <v>51</v>
      </c>
      <c r="D419" s="1" t="s">
        <v>13</v>
      </c>
      <c r="E419" s="1" t="s">
        <v>14</v>
      </c>
      <c r="F419" s="1" t="s">
        <v>147</v>
      </c>
      <c r="G419" s="1">
        <v>4</v>
      </c>
      <c r="H419" s="1">
        <v>99</v>
      </c>
      <c r="I419" s="1">
        <v>10</v>
      </c>
      <c r="J419" s="1">
        <v>356.4</v>
      </c>
      <c r="K419" s="1" t="s">
        <v>55</v>
      </c>
      <c r="L419" s="1" t="str">
        <f t="shared" si="13"/>
        <v>Jun</v>
      </c>
      <c r="M419" s="2">
        <f>(H419-_xlfn.XLOOKUP(D419,Product_Master!A:A,Product_Master!D:D))*G419</f>
        <v>96</v>
      </c>
      <c r="N419" s="13">
        <f t="shared" si="12"/>
        <v>0.26936026936026936</v>
      </c>
      <c r="O419" s="16">
        <f>G419/Inventory!$G$2</f>
        <v>7.0175438596491224E-2</v>
      </c>
      <c r="P419"/>
      <c r="AA419"/>
      <c r="AB419"/>
      <c r="AC419"/>
    </row>
    <row r="420" spans="1:29">
      <c r="A420" s="1" t="s">
        <v>714</v>
      </c>
      <c r="B420" s="1" t="s">
        <v>322</v>
      </c>
      <c r="C420" s="1" t="s">
        <v>51</v>
      </c>
      <c r="D420" s="1" t="s">
        <v>11</v>
      </c>
      <c r="E420" s="1" t="s">
        <v>12</v>
      </c>
      <c r="F420" s="1" t="s">
        <v>147</v>
      </c>
      <c r="G420" s="1">
        <v>10</v>
      </c>
      <c r="H420" s="1">
        <v>86</v>
      </c>
      <c r="I420" s="1">
        <v>5</v>
      </c>
      <c r="J420" s="1">
        <v>817</v>
      </c>
      <c r="K420" s="1" t="s">
        <v>55</v>
      </c>
      <c r="L420" s="1" t="str">
        <f t="shared" si="13"/>
        <v>Jan</v>
      </c>
      <c r="M420" s="2">
        <f>(H420-_xlfn.XLOOKUP(D420,Product_Master!A:A,Product_Master!D:D))*G420</f>
        <v>200</v>
      </c>
      <c r="N420" s="13">
        <f t="shared" si="12"/>
        <v>0.24479804161566707</v>
      </c>
      <c r="O420" s="16">
        <f>G420/Inventory!$G$2</f>
        <v>0.17543859649122806</v>
      </c>
      <c r="P420"/>
      <c r="AA420"/>
      <c r="AB420"/>
      <c r="AC420"/>
    </row>
    <row r="421" spans="1:29">
      <c r="A421" s="1" t="s">
        <v>715</v>
      </c>
      <c r="B421" s="1" t="s">
        <v>326</v>
      </c>
      <c r="C421" s="1" t="s">
        <v>69</v>
      </c>
      <c r="D421" s="1" t="s">
        <v>20</v>
      </c>
      <c r="E421" s="1" t="s">
        <v>21</v>
      </c>
      <c r="F421" s="1" t="s">
        <v>10</v>
      </c>
      <c r="G421" s="1">
        <v>1</v>
      </c>
      <c r="H421" s="1">
        <v>128</v>
      </c>
      <c r="I421" s="1">
        <v>5</v>
      </c>
      <c r="J421" s="1">
        <v>121.6</v>
      </c>
      <c r="K421" s="1" t="s">
        <v>49</v>
      </c>
      <c r="L421" s="1" t="str">
        <f t="shared" si="13"/>
        <v>Jun</v>
      </c>
      <c r="M421" s="2">
        <f>(H421-_xlfn.XLOOKUP(D421,Product_Master!A:A,Product_Master!D:D))*G421</f>
        <v>53</v>
      </c>
      <c r="N421" s="13">
        <f t="shared" si="12"/>
        <v>0.43585526315789475</v>
      </c>
      <c r="O421" s="16">
        <f>G421/Inventory!$G$2</f>
        <v>1.7543859649122806E-2</v>
      </c>
      <c r="P421"/>
      <c r="AA421"/>
      <c r="AB421"/>
      <c r="AC421"/>
    </row>
    <row r="422" spans="1:29">
      <c r="A422" s="1" t="s">
        <v>716</v>
      </c>
      <c r="B422" s="1" t="s">
        <v>458</v>
      </c>
      <c r="C422" s="1" t="s">
        <v>65</v>
      </c>
      <c r="D422" s="1" t="s">
        <v>173</v>
      </c>
      <c r="E422" s="1" t="s">
        <v>203</v>
      </c>
      <c r="F422" s="1" t="s">
        <v>17</v>
      </c>
      <c r="G422" s="1">
        <v>9</v>
      </c>
      <c r="H422" s="1">
        <v>139</v>
      </c>
      <c r="I422" s="1">
        <v>5</v>
      </c>
      <c r="J422" s="1">
        <v>1188.45</v>
      </c>
      <c r="K422" s="1" t="s">
        <v>55</v>
      </c>
      <c r="L422" s="1" t="str">
        <f t="shared" si="13"/>
        <v>May</v>
      </c>
      <c r="M422" s="2">
        <f>(H422-_xlfn.XLOOKUP(D422,Product_Master!A:A,Product_Master!D:D))*G422</f>
        <v>630</v>
      </c>
      <c r="N422" s="13">
        <f t="shared" si="12"/>
        <v>0.53010223400227185</v>
      </c>
      <c r="O422" s="16">
        <f>G422/Inventory!$G$2</f>
        <v>0.15789473684210525</v>
      </c>
      <c r="P422"/>
      <c r="AA422"/>
      <c r="AB422"/>
      <c r="AC422"/>
    </row>
    <row r="423" spans="1:29">
      <c r="A423" s="1" t="s">
        <v>717</v>
      </c>
      <c r="B423" s="1" t="s">
        <v>392</v>
      </c>
      <c r="C423" s="1" t="s">
        <v>222</v>
      </c>
      <c r="D423" s="1" t="s">
        <v>22</v>
      </c>
      <c r="E423" s="1" t="s">
        <v>23</v>
      </c>
      <c r="F423" s="1" t="s">
        <v>10</v>
      </c>
      <c r="G423" s="1">
        <v>6</v>
      </c>
      <c r="H423" s="1">
        <v>76</v>
      </c>
      <c r="I423" s="1">
        <v>0</v>
      </c>
      <c r="J423" s="1">
        <v>456</v>
      </c>
      <c r="K423" s="1" t="s">
        <v>76</v>
      </c>
      <c r="L423" s="1" t="str">
        <f t="shared" si="13"/>
        <v>Jan</v>
      </c>
      <c r="M423" s="2">
        <f>(H423-_xlfn.XLOOKUP(D423,Product_Master!A:A,Product_Master!D:D))*G423</f>
        <v>180</v>
      </c>
      <c r="N423" s="13">
        <f t="shared" si="12"/>
        <v>0.39473684210526316</v>
      </c>
      <c r="O423" s="16">
        <f>G423/Inventory!$G$2</f>
        <v>0.10526315789473684</v>
      </c>
      <c r="P423"/>
      <c r="AA423"/>
      <c r="AB423"/>
      <c r="AC423"/>
    </row>
    <row r="424" spans="1:29">
      <c r="A424" s="1" t="s">
        <v>718</v>
      </c>
      <c r="B424" s="1" t="s">
        <v>570</v>
      </c>
      <c r="C424" s="1" t="s">
        <v>211</v>
      </c>
      <c r="D424" s="1" t="s">
        <v>175</v>
      </c>
      <c r="E424" s="1" t="s">
        <v>205</v>
      </c>
      <c r="F424" s="1" t="s">
        <v>10</v>
      </c>
      <c r="G424" s="1">
        <v>14</v>
      </c>
      <c r="H424" s="1">
        <v>113</v>
      </c>
      <c r="I424" s="1">
        <v>10</v>
      </c>
      <c r="J424" s="1">
        <v>1423.8</v>
      </c>
      <c r="K424" s="1" t="s">
        <v>76</v>
      </c>
      <c r="L424" s="1" t="str">
        <f t="shared" si="13"/>
        <v>May</v>
      </c>
      <c r="M424" s="2">
        <f>(H424-_xlfn.XLOOKUP(D424,Product_Master!A:A,Product_Master!D:D))*G424</f>
        <v>700</v>
      </c>
      <c r="N424" s="13">
        <f t="shared" si="12"/>
        <v>0.49164208456243857</v>
      </c>
      <c r="O424" s="16">
        <f>G424/Inventory!$G$2</f>
        <v>0.24561403508771928</v>
      </c>
      <c r="P424"/>
      <c r="AA424"/>
      <c r="AB424"/>
      <c r="AC424"/>
    </row>
    <row r="425" spans="1:29">
      <c r="A425" s="1" t="s">
        <v>719</v>
      </c>
      <c r="B425" s="1" t="s">
        <v>514</v>
      </c>
      <c r="C425" s="1" t="s">
        <v>224</v>
      </c>
      <c r="D425" s="1" t="s">
        <v>162</v>
      </c>
      <c r="E425" s="1" t="s">
        <v>192</v>
      </c>
      <c r="F425" s="1" t="s">
        <v>146</v>
      </c>
      <c r="G425" s="1">
        <v>8</v>
      </c>
      <c r="H425" s="1">
        <v>168</v>
      </c>
      <c r="I425" s="1">
        <v>0</v>
      </c>
      <c r="J425" s="1">
        <v>1344</v>
      </c>
      <c r="K425" s="1" t="s">
        <v>49</v>
      </c>
      <c r="L425" s="1" t="str">
        <f t="shared" si="13"/>
        <v>Apr</v>
      </c>
      <c r="M425" s="2">
        <f>(H425-_xlfn.XLOOKUP(D425,Product_Master!A:A,Product_Master!D:D))*G425</f>
        <v>440</v>
      </c>
      <c r="N425" s="13">
        <f t="shared" si="12"/>
        <v>0.32738095238095238</v>
      </c>
      <c r="O425" s="16">
        <f>G425/Inventory!$G$2</f>
        <v>0.14035087719298245</v>
      </c>
      <c r="P425"/>
      <c r="AA425"/>
      <c r="AB425"/>
      <c r="AC425"/>
    </row>
    <row r="426" spans="1:29">
      <c r="A426" s="1" t="s">
        <v>720</v>
      </c>
      <c r="B426" s="1" t="s">
        <v>377</v>
      </c>
      <c r="C426" s="1" t="s">
        <v>259</v>
      </c>
      <c r="D426" s="1" t="s">
        <v>165</v>
      </c>
      <c r="E426" s="1" t="s">
        <v>195</v>
      </c>
      <c r="F426" s="1" t="s">
        <v>147</v>
      </c>
      <c r="G426" s="1">
        <v>6</v>
      </c>
      <c r="H426" s="1">
        <v>109</v>
      </c>
      <c r="I426" s="1">
        <v>15</v>
      </c>
      <c r="J426" s="1">
        <v>555.9</v>
      </c>
      <c r="K426" s="1" t="s">
        <v>235</v>
      </c>
      <c r="L426" s="1" t="str">
        <f t="shared" si="13"/>
        <v>Jun</v>
      </c>
      <c r="M426" s="2">
        <f>(H426-_xlfn.XLOOKUP(D426,Product_Master!A:A,Product_Master!D:D))*G426</f>
        <v>330</v>
      </c>
      <c r="N426" s="13">
        <f t="shared" si="12"/>
        <v>0.59363194819212095</v>
      </c>
      <c r="O426" s="16">
        <f>G426/Inventory!$G$2</f>
        <v>0.10526315789473684</v>
      </c>
      <c r="P426"/>
      <c r="AA426"/>
      <c r="AB426"/>
      <c r="AC426"/>
    </row>
    <row r="427" spans="1:29">
      <c r="A427" s="1" t="s">
        <v>721</v>
      </c>
      <c r="B427" s="1" t="s">
        <v>135</v>
      </c>
      <c r="C427" s="1" t="s">
        <v>259</v>
      </c>
      <c r="D427" s="1" t="s">
        <v>171</v>
      </c>
      <c r="E427" s="1" t="s">
        <v>201</v>
      </c>
      <c r="F427" s="1" t="s">
        <v>17</v>
      </c>
      <c r="G427" s="1">
        <v>3</v>
      </c>
      <c r="H427" s="1">
        <v>154</v>
      </c>
      <c r="I427" s="1">
        <v>10</v>
      </c>
      <c r="J427" s="1">
        <v>415.8</v>
      </c>
      <c r="K427" s="1" t="s">
        <v>49</v>
      </c>
      <c r="L427" s="1" t="str">
        <f t="shared" si="13"/>
        <v>Feb</v>
      </c>
      <c r="M427" s="2">
        <f>(H427-_xlfn.XLOOKUP(D427,Product_Master!A:A,Product_Master!D:D))*G427</f>
        <v>174</v>
      </c>
      <c r="N427" s="13">
        <f t="shared" si="12"/>
        <v>0.41847041847041844</v>
      </c>
      <c r="O427" s="16">
        <f>G427/Inventory!$G$2</f>
        <v>5.2631578947368418E-2</v>
      </c>
      <c r="P427"/>
      <c r="AA427"/>
      <c r="AB427"/>
      <c r="AC427"/>
    </row>
    <row r="428" spans="1:29">
      <c r="A428" s="1" t="s">
        <v>722</v>
      </c>
      <c r="B428" s="1" t="s">
        <v>107</v>
      </c>
      <c r="C428" s="1" t="s">
        <v>222</v>
      </c>
      <c r="D428" s="1" t="s">
        <v>149</v>
      </c>
      <c r="E428" s="1" t="s">
        <v>179</v>
      </c>
      <c r="F428" s="1" t="s">
        <v>17</v>
      </c>
      <c r="G428" s="1">
        <v>6</v>
      </c>
      <c r="H428" s="1">
        <v>98</v>
      </c>
      <c r="I428" s="1">
        <v>0</v>
      </c>
      <c r="J428" s="1">
        <v>588</v>
      </c>
      <c r="K428" s="1" t="s">
        <v>46</v>
      </c>
      <c r="L428" s="1" t="str">
        <f t="shared" si="13"/>
        <v>Jan</v>
      </c>
      <c r="M428" s="2">
        <f>(H428-_xlfn.XLOOKUP(D428,Product_Master!A:A,Product_Master!D:D))*G428</f>
        <v>132</v>
      </c>
      <c r="N428" s="13">
        <f t="shared" si="12"/>
        <v>0.22448979591836735</v>
      </c>
      <c r="O428" s="16">
        <f>G428/Inventory!$G$2</f>
        <v>0.10526315789473684</v>
      </c>
      <c r="P428"/>
      <c r="AA428"/>
      <c r="AB428"/>
      <c r="AC428"/>
    </row>
    <row r="429" spans="1:29">
      <c r="A429" s="1" t="s">
        <v>723</v>
      </c>
      <c r="B429" s="1" t="s">
        <v>126</v>
      </c>
      <c r="C429" s="1" t="s">
        <v>65</v>
      </c>
      <c r="D429" s="1" t="s">
        <v>162</v>
      </c>
      <c r="E429" s="1" t="s">
        <v>192</v>
      </c>
      <c r="F429" s="1" t="s">
        <v>146</v>
      </c>
      <c r="G429" s="1">
        <v>13</v>
      </c>
      <c r="H429" s="1">
        <v>168</v>
      </c>
      <c r="I429" s="1">
        <v>0</v>
      </c>
      <c r="J429" s="1">
        <v>2184</v>
      </c>
      <c r="K429" s="1" t="s">
        <v>215</v>
      </c>
      <c r="L429" s="1" t="str">
        <f t="shared" si="13"/>
        <v>Jan</v>
      </c>
      <c r="M429" s="2">
        <f>(H429-_xlfn.XLOOKUP(D429,Product_Master!A:A,Product_Master!D:D))*G429</f>
        <v>715</v>
      </c>
      <c r="N429" s="13">
        <f t="shared" si="12"/>
        <v>0.32738095238095238</v>
      </c>
      <c r="O429" s="16">
        <f>G429/Inventory!$G$2</f>
        <v>0.22807017543859648</v>
      </c>
      <c r="P429"/>
      <c r="AA429"/>
      <c r="AB429"/>
      <c r="AC429"/>
    </row>
    <row r="430" spans="1:29">
      <c r="A430" s="1" t="s">
        <v>724</v>
      </c>
      <c r="B430" s="1" t="s">
        <v>426</v>
      </c>
      <c r="C430" s="1" t="s">
        <v>45</v>
      </c>
      <c r="D430" s="1" t="s">
        <v>164</v>
      </c>
      <c r="E430" s="1" t="s">
        <v>194</v>
      </c>
      <c r="F430" s="1" t="s">
        <v>147</v>
      </c>
      <c r="G430" s="1">
        <v>8</v>
      </c>
      <c r="H430" s="1">
        <v>135</v>
      </c>
      <c r="I430" s="1">
        <v>10</v>
      </c>
      <c r="J430" s="1">
        <v>972</v>
      </c>
      <c r="K430" s="1" t="s">
        <v>235</v>
      </c>
      <c r="L430" s="1" t="str">
        <f t="shared" si="13"/>
        <v>May</v>
      </c>
      <c r="M430" s="2">
        <f>(H430-_xlfn.XLOOKUP(D430,Product_Master!A:A,Product_Master!D:D))*G430</f>
        <v>344</v>
      </c>
      <c r="N430" s="13">
        <f t="shared" si="12"/>
        <v>0.35390946502057613</v>
      </c>
      <c r="O430" s="16">
        <f>G430/Inventory!$G$2</f>
        <v>0.14035087719298245</v>
      </c>
      <c r="P430"/>
      <c r="AA430"/>
      <c r="AB430"/>
      <c r="AC430"/>
    </row>
    <row r="431" spans="1:29">
      <c r="A431" s="1" t="s">
        <v>725</v>
      </c>
      <c r="B431" s="1" t="s">
        <v>726</v>
      </c>
      <c r="C431" s="1" t="s">
        <v>51</v>
      </c>
      <c r="D431" s="1" t="s">
        <v>15</v>
      </c>
      <c r="E431" s="1" t="s">
        <v>16</v>
      </c>
      <c r="F431" s="1" t="s">
        <v>10</v>
      </c>
      <c r="G431" s="1">
        <v>14</v>
      </c>
      <c r="H431" s="1">
        <v>98</v>
      </c>
      <c r="I431" s="1">
        <v>10</v>
      </c>
      <c r="J431" s="1">
        <v>1234.8</v>
      </c>
      <c r="K431" s="1" t="s">
        <v>235</v>
      </c>
      <c r="L431" s="1" t="str">
        <f t="shared" si="13"/>
        <v>Jun</v>
      </c>
      <c r="M431" s="2">
        <f>(H431-_xlfn.XLOOKUP(D431,Product_Master!A:A,Product_Master!D:D))*G431</f>
        <v>812</v>
      </c>
      <c r="N431" s="13">
        <f t="shared" si="12"/>
        <v>0.65759637188208619</v>
      </c>
      <c r="O431" s="16">
        <f>G431/Inventory!$G$2</f>
        <v>0.24561403508771928</v>
      </c>
      <c r="P431"/>
      <c r="AA431"/>
      <c r="AB431"/>
      <c r="AC431"/>
    </row>
    <row r="432" spans="1:29">
      <c r="A432" s="1" t="s">
        <v>727</v>
      </c>
      <c r="B432" s="1" t="s">
        <v>75</v>
      </c>
      <c r="C432" s="1" t="s">
        <v>65</v>
      </c>
      <c r="D432" s="1" t="s">
        <v>166</v>
      </c>
      <c r="E432" s="1" t="s">
        <v>196</v>
      </c>
      <c r="F432" s="1" t="s">
        <v>7</v>
      </c>
      <c r="G432" s="1">
        <v>11</v>
      </c>
      <c r="H432" s="1">
        <v>100</v>
      </c>
      <c r="I432" s="1">
        <v>0</v>
      </c>
      <c r="J432" s="1">
        <v>1100</v>
      </c>
      <c r="K432" s="1" t="s">
        <v>215</v>
      </c>
      <c r="L432" s="1" t="str">
        <f t="shared" si="13"/>
        <v>Jan</v>
      </c>
      <c r="M432" s="2">
        <f>(H432-_xlfn.XLOOKUP(D432,Product_Master!A:A,Product_Master!D:D))*G432</f>
        <v>242</v>
      </c>
      <c r="N432" s="13">
        <f t="shared" si="12"/>
        <v>0.22</v>
      </c>
      <c r="O432" s="16">
        <f>G432/Inventory!$G$2</f>
        <v>0.19298245614035087</v>
      </c>
      <c r="P432"/>
      <c r="AA432"/>
      <c r="AB432"/>
      <c r="AC432"/>
    </row>
    <row r="433" spans="1:29">
      <c r="A433" s="1" t="s">
        <v>728</v>
      </c>
      <c r="B433" s="1" t="s">
        <v>361</v>
      </c>
      <c r="C433" s="1" t="s">
        <v>69</v>
      </c>
      <c r="D433" s="1" t="s">
        <v>177</v>
      </c>
      <c r="E433" s="1" t="s">
        <v>207</v>
      </c>
      <c r="F433" s="1" t="s">
        <v>146</v>
      </c>
      <c r="G433" s="1">
        <v>1</v>
      </c>
      <c r="H433" s="1">
        <v>145</v>
      </c>
      <c r="I433" s="1">
        <v>10</v>
      </c>
      <c r="J433" s="1">
        <v>130.5</v>
      </c>
      <c r="K433" s="1" t="s">
        <v>49</v>
      </c>
      <c r="L433" s="1" t="str">
        <f t="shared" si="13"/>
        <v>Feb</v>
      </c>
      <c r="M433" s="2">
        <f>(H433-_xlfn.XLOOKUP(D433,Product_Master!A:A,Product_Master!D:D))*G433</f>
        <v>82</v>
      </c>
      <c r="N433" s="13">
        <f t="shared" si="12"/>
        <v>0.62835249042145591</v>
      </c>
      <c r="O433" s="16">
        <f>G433/Inventory!$G$2</f>
        <v>1.7543859649122806E-2</v>
      </c>
      <c r="P433"/>
      <c r="AA433"/>
      <c r="AB433"/>
      <c r="AC433"/>
    </row>
    <row r="434" spans="1:29">
      <c r="A434" s="1" t="s">
        <v>729</v>
      </c>
      <c r="B434" s="1" t="s">
        <v>241</v>
      </c>
      <c r="C434" s="1" t="s">
        <v>45</v>
      </c>
      <c r="D434" s="1" t="s">
        <v>5</v>
      </c>
      <c r="E434" s="1" t="s">
        <v>6</v>
      </c>
      <c r="F434" s="1" t="s">
        <v>7</v>
      </c>
      <c r="G434" s="1">
        <v>12</v>
      </c>
      <c r="H434" s="1">
        <v>74</v>
      </c>
      <c r="I434" s="1">
        <v>5</v>
      </c>
      <c r="J434" s="1">
        <v>843.6</v>
      </c>
      <c r="K434" s="1" t="s">
        <v>55</v>
      </c>
      <c r="L434" s="1" t="str">
        <f t="shared" si="13"/>
        <v>May</v>
      </c>
      <c r="M434" s="2">
        <f>(H434-_xlfn.XLOOKUP(D434,Product_Master!A:A,Product_Master!D:D))*G434</f>
        <v>336</v>
      </c>
      <c r="N434" s="13">
        <f t="shared" si="12"/>
        <v>0.39829302987197723</v>
      </c>
      <c r="O434" s="16">
        <f>G434/Inventory!$G$2</f>
        <v>0.21052631578947367</v>
      </c>
      <c r="P434"/>
      <c r="AA434"/>
      <c r="AB434"/>
      <c r="AC434"/>
    </row>
    <row r="435" spans="1:29">
      <c r="A435" s="1" t="s">
        <v>730</v>
      </c>
      <c r="B435" s="1" t="s">
        <v>94</v>
      </c>
      <c r="C435" s="1" t="s">
        <v>211</v>
      </c>
      <c r="D435" s="1" t="s">
        <v>168</v>
      </c>
      <c r="E435" s="1" t="s">
        <v>198</v>
      </c>
      <c r="F435" s="1" t="s">
        <v>17</v>
      </c>
      <c r="G435" s="1">
        <v>5</v>
      </c>
      <c r="H435" s="1">
        <v>119</v>
      </c>
      <c r="I435" s="1">
        <v>5</v>
      </c>
      <c r="J435" s="1">
        <v>565.25</v>
      </c>
      <c r="K435" s="1" t="s">
        <v>215</v>
      </c>
      <c r="L435" s="1" t="str">
        <f t="shared" si="13"/>
        <v>Mar</v>
      </c>
      <c r="M435" s="2">
        <f>(H435-_xlfn.XLOOKUP(D435,Product_Master!A:A,Product_Master!D:D))*G435</f>
        <v>235</v>
      </c>
      <c r="N435" s="13">
        <f t="shared" si="12"/>
        <v>0.41574524546660768</v>
      </c>
      <c r="O435" s="16">
        <f>G435/Inventory!$G$2</f>
        <v>8.771929824561403E-2</v>
      </c>
      <c r="P435"/>
      <c r="AA435"/>
      <c r="AB435"/>
      <c r="AC435"/>
    </row>
    <row r="436" spans="1:29">
      <c r="A436" s="1" t="s">
        <v>731</v>
      </c>
      <c r="B436" s="1" t="s">
        <v>96</v>
      </c>
      <c r="C436" s="1" t="s">
        <v>224</v>
      </c>
      <c r="D436" s="1" t="s">
        <v>174</v>
      </c>
      <c r="E436" s="1" t="s">
        <v>204</v>
      </c>
      <c r="F436" s="1" t="s">
        <v>7</v>
      </c>
      <c r="G436" s="1">
        <v>4</v>
      </c>
      <c r="H436" s="1">
        <v>160</v>
      </c>
      <c r="I436" s="1">
        <v>0</v>
      </c>
      <c r="J436" s="1">
        <v>640</v>
      </c>
      <c r="K436" s="1" t="s">
        <v>76</v>
      </c>
      <c r="L436" s="1" t="str">
        <f t="shared" si="13"/>
        <v>Jan</v>
      </c>
      <c r="M436" s="2">
        <f>(H436-_xlfn.XLOOKUP(D436,Product_Master!A:A,Product_Master!D:D))*G436</f>
        <v>220</v>
      </c>
      <c r="N436" s="13">
        <f t="shared" si="12"/>
        <v>0.34375</v>
      </c>
      <c r="O436" s="16">
        <f>G436/Inventory!$G$2</f>
        <v>7.0175438596491224E-2</v>
      </c>
      <c r="P436"/>
      <c r="AA436"/>
      <c r="AB436"/>
      <c r="AC436"/>
    </row>
    <row r="437" spans="1:29">
      <c r="A437" s="1" t="s">
        <v>732</v>
      </c>
      <c r="B437" s="1" t="s">
        <v>52</v>
      </c>
      <c r="C437" s="1" t="s">
        <v>48</v>
      </c>
      <c r="D437" s="1" t="s">
        <v>158</v>
      </c>
      <c r="E437" s="1" t="s">
        <v>188</v>
      </c>
      <c r="F437" s="1" t="s">
        <v>10</v>
      </c>
      <c r="G437" s="1">
        <v>4</v>
      </c>
      <c r="H437" s="1">
        <v>65</v>
      </c>
      <c r="I437" s="1">
        <v>0</v>
      </c>
      <c r="J437" s="1">
        <v>260</v>
      </c>
      <c r="K437" s="1" t="s">
        <v>76</v>
      </c>
      <c r="L437" s="1" t="str">
        <f t="shared" si="13"/>
        <v>Apr</v>
      </c>
      <c r="M437" s="2">
        <f>(H437-_xlfn.XLOOKUP(D437,Product_Master!A:A,Product_Master!D:D))*G437</f>
        <v>88</v>
      </c>
      <c r="N437" s="13">
        <f t="shared" si="12"/>
        <v>0.33846153846153848</v>
      </c>
      <c r="O437" s="16">
        <f>G437/Inventory!$G$2</f>
        <v>7.0175438596491224E-2</v>
      </c>
      <c r="P437"/>
      <c r="AA437"/>
      <c r="AB437"/>
      <c r="AC437"/>
    </row>
    <row r="438" spans="1:29">
      <c r="A438" s="1" t="s">
        <v>733</v>
      </c>
      <c r="B438" s="1" t="s">
        <v>213</v>
      </c>
      <c r="C438" s="1" t="s">
        <v>72</v>
      </c>
      <c r="D438" s="1" t="s">
        <v>154</v>
      </c>
      <c r="E438" s="1" t="s">
        <v>184</v>
      </c>
      <c r="F438" s="1" t="s">
        <v>17</v>
      </c>
      <c r="G438" s="1">
        <v>13</v>
      </c>
      <c r="H438" s="1">
        <v>151</v>
      </c>
      <c r="I438" s="1">
        <v>15</v>
      </c>
      <c r="J438" s="1">
        <v>1668.55</v>
      </c>
      <c r="K438" s="1" t="s">
        <v>215</v>
      </c>
      <c r="L438" s="1" t="str">
        <f t="shared" si="13"/>
        <v>Apr</v>
      </c>
      <c r="M438" s="2">
        <f>(H438-_xlfn.XLOOKUP(D438,Product_Master!A:A,Product_Master!D:D))*G438</f>
        <v>689</v>
      </c>
      <c r="N438" s="13">
        <f t="shared" si="12"/>
        <v>0.41293338527463969</v>
      </c>
      <c r="O438" s="16">
        <f>G438/Inventory!$G$2</f>
        <v>0.22807017543859648</v>
      </c>
      <c r="P438"/>
      <c r="AA438"/>
      <c r="AB438"/>
      <c r="AC438"/>
    </row>
    <row r="439" spans="1:29">
      <c r="A439" s="1" t="s">
        <v>734</v>
      </c>
      <c r="B439" s="1" t="s">
        <v>412</v>
      </c>
      <c r="C439" s="1" t="s">
        <v>45</v>
      </c>
      <c r="D439" s="1" t="s">
        <v>153</v>
      </c>
      <c r="E439" s="1" t="s">
        <v>183</v>
      </c>
      <c r="F439" s="1" t="s">
        <v>17</v>
      </c>
      <c r="G439" s="1">
        <v>3</v>
      </c>
      <c r="H439" s="1">
        <v>89</v>
      </c>
      <c r="I439" s="1">
        <v>5</v>
      </c>
      <c r="J439" s="1">
        <v>253.65</v>
      </c>
      <c r="K439" s="1" t="s">
        <v>49</v>
      </c>
      <c r="L439" s="1" t="str">
        <f t="shared" si="13"/>
        <v>Apr</v>
      </c>
      <c r="M439" s="2">
        <f>(H439-_xlfn.XLOOKUP(D439,Product_Master!A:A,Product_Master!D:D))*G439</f>
        <v>195</v>
      </c>
      <c r="N439" s="13">
        <f t="shared" si="12"/>
        <v>0.76877587226493194</v>
      </c>
      <c r="O439" s="16">
        <f>G439/Inventory!$G$2</f>
        <v>5.2631578947368418E-2</v>
      </c>
      <c r="P439"/>
      <c r="AA439"/>
      <c r="AB439"/>
      <c r="AC439"/>
    </row>
    <row r="440" spans="1:29">
      <c r="A440" s="1" t="s">
        <v>735</v>
      </c>
      <c r="B440" s="1" t="s">
        <v>298</v>
      </c>
      <c r="C440" s="1" t="s">
        <v>65</v>
      </c>
      <c r="D440" s="1" t="s">
        <v>155</v>
      </c>
      <c r="E440" s="1" t="s">
        <v>185</v>
      </c>
      <c r="F440" s="1" t="s">
        <v>7</v>
      </c>
      <c r="G440" s="1">
        <v>11</v>
      </c>
      <c r="H440" s="1">
        <v>156</v>
      </c>
      <c r="I440" s="1">
        <v>5</v>
      </c>
      <c r="J440" s="1">
        <v>1630.2</v>
      </c>
      <c r="K440" s="1" t="s">
        <v>76</v>
      </c>
      <c r="L440" s="1" t="str">
        <f t="shared" si="13"/>
        <v>Jun</v>
      </c>
      <c r="M440" s="2">
        <f>(H440-_xlfn.XLOOKUP(D440,Product_Master!A:A,Product_Master!D:D))*G440</f>
        <v>693</v>
      </c>
      <c r="N440" s="13">
        <f t="shared" si="12"/>
        <v>0.4251012145748988</v>
      </c>
      <c r="O440" s="16">
        <f>G440/Inventory!$G$2</f>
        <v>0.19298245614035087</v>
      </c>
      <c r="P440"/>
      <c r="AA440"/>
      <c r="AB440"/>
      <c r="AC440"/>
    </row>
    <row r="441" spans="1:29">
      <c r="A441" s="1" t="s">
        <v>736</v>
      </c>
      <c r="B441" s="1" t="s">
        <v>110</v>
      </c>
      <c r="C441" s="1" t="s">
        <v>48</v>
      </c>
      <c r="D441" s="1" t="s">
        <v>150</v>
      </c>
      <c r="E441" s="1" t="s">
        <v>180</v>
      </c>
      <c r="F441" s="1" t="s">
        <v>17</v>
      </c>
      <c r="G441" s="1">
        <v>10</v>
      </c>
      <c r="H441" s="1">
        <v>143</v>
      </c>
      <c r="I441" s="1">
        <v>0</v>
      </c>
      <c r="J441" s="1">
        <v>1430</v>
      </c>
      <c r="K441" s="1" t="s">
        <v>46</v>
      </c>
      <c r="L441" s="1" t="str">
        <f t="shared" si="13"/>
        <v>Jan</v>
      </c>
      <c r="M441" s="2">
        <f>(H441-_xlfn.XLOOKUP(D441,Product_Master!A:A,Product_Master!D:D))*G441</f>
        <v>420</v>
      </c>
      <c r="N441" s="13">
        <f t="shared" si="12"/>
        <v>0.2937062937062937</v>
      </c>
      <c r="O441" s="16">
        <f>G441/Inventory!$G$2</f>
        <v>0.17543859649122806</v>
      </c>
      <c r="P441"/>
      <c r="AA441"/>
      <c r="AB441"/>
      <c r="AC441"/>
    </row>
    <row r="442" spans="1:29">
      <c r="A442" s="1" t="s">
        <v>737</v>
      </c>
      <c r="B442" s="1" t="s">
        <v>66</v>
      </c>
      <c r="C442" s="1" t="s">
        <v>72</v>
      </c>
      <c r="D442" s="1" t="s">
        <v>172</v>
      </c>
      <c r="E442" s="1" t="s">
        <v>202</v>
      </c>
      <c r="F442" s="1" t="s">
        <v>17</v>
      </c>
      <c r="G442" s="1">
        <v>4</v>
      </c>
      <c r="H442" s="1">
        <v>199</v>
      </c>
      <c r="I442" s="1">
        <v>15</v>
      </c>
      <c r="J442" s="1">
        <v>676.6</v>
      </c>
      <c r="K442" s="1" t="s">
        <v>49</v>
      </c>
      <c r="L442" s="1" t="str">
        <f t="shared" si="13"/>
        <v>Apr</v>
      </c>
      <c r="M442" s="2">
        <f>(H442-_xlfn.XLOOKUP(D442,Product_Master!A:A,Product_Master!D:D))*G442</f>
        <v>372</v>
      </c>
      <c r="N442" s="13">
        <f t="shared" si="12"/>
        <v>0.54980786284362992</v>
      </c>
      <c r="O442" s="16">
        <f>G442/Inventory!$G$2</f>
        <v>7.0175438596491224E-2</v>
      </c>
      <c r="P442"/>
      <c r="AA442"/>
      <c r="AB442"/>
      <c r="AC442"/>
    </row>
    <row r="443" spans="1:29">
      <c r="A443" s="1" t="s">
        <v>738</v>
      </c>
      <c r="B443" s="1" t="s">
        <v>489</v>
      </c>
      <c r="C443" s="1" t="s">
        <v>259</v>
      </c>
      <c r="D443" s="1" t="s">
        <v>166</v>
      </c>
      <c r="E443" s="1" t="s">
        <v>196</v>
      </c>
      <c r="F443" s="1" t="s">
        <v>7</v>
      </c>
      <c r="G443" s="1">
        <v>15</v>
      </c>
      <c r="H443" s="1">
        <v>100</v>
      </c>
      <c r="I443" s="1">
        <v>10</v>
      </c>
      <c r="J443" s="1">
        <v>1350</v>
      </c>
      <c r="K443" s="1" t="s">
        <v>55</v>
      </c>
      <c r="L443" s="1" t="str">
        <f t="shared" si="13"/>
        <v>May</v>
      </c>
      <c r="M443" s="2">
        <f>(H443-_xlfn.XLOOKUP(D443,Product_Master!A:A,Product_Master!D:D))*G443</f>
        <v>330</v>
      </c>
      <c r="N443" s="13">
        <f t="shared" si="12"/>
        <v>0.24444444444444444</v>
      </c>
      <c r="O443" s="16">
        <f>G443/Inventory!$G$2</f>
        <v>0.26315789473684209</v>
      </c>
      <c r="P443"/>
      <c r="AA443"/>
      <c r="AB443"/>
      <c r="AC443"/>
    </row>
    <row r="444" spans="1:29">
      <c r="A444" s="1" t="s">
        <v>739</v>
      </c>
      <c r="B444" s="1" t="s">
        <v>52</v>
      </c>
      <c r="C444" s="1" t="s">
        <v>259</v>
      </c>
      <c r="D444" s="1" t="s">
        <v>167</v>
      </c>
      <c r="E444" s="1" t="s">
        <v>197</v>
      </c>
      <c r="F444" s="1" t="s">
        <v>17</v>
      </c>
      <c r="G444" s="1">
        <v>13</v>
      </c>
      <c r="H444" s="1">
        <v>135</v>
      </c>
      <c r="I444" s="1">
        <v>0</v>
      </c>
      <c r="J444" s="1">
        <v>1755</v>
      </c>
      <c r="K444" s="1" t="s">
        <v>215</v>
      </c>
      <c r="L444" s="1" t="str">
        <f t="shared" si="13"/>
        <v>Apr</v>
      </c>
      <c r="M444" s="2">
        <f>(H444-_xlfn.XLOOKUP(D444,Product_Master!A:A,Product_Master!D:D))*G444</f>
        <v>1040</v>
      </c>
      <c r="N444" s="13">
        <f t="shared" si="12"/>
        <v>0.59259259259259256</v>
      </c>
      <c r="O444" s="16">
        <f>G444/Inventory!$G$2</f>
        <v>0.22807017543859648</v>
      </c>
      <c r="P444"/>
      <c r="AA444"/>
      <c r="AB444"/>
      <c r="AC444"/>
    </row>
    <row r="445" spans="1:29">
      <c r="A445" s="1" t="s">
        <v>740</v>
      </c>
      <c r="B445" s="1" t="s">
        <v>213</v>
      </c>
      <c r="C445" s="1" t="s">
        <v>259</v>
      </c>
      <c r="D445" s="1" t="s">
        <v>152</v>
      </c>
      <c r="E445" s="1" t="s">
        <v>182</v>
      </c>
      <c r="F445" s="1" t="s">
        <v>146</v>
      </c>
      <c r="G445" s="1">
        <v>2</v>
      </c>
      <c r="H445" s="1">
        <v>158</v>
      </c>
      <c r="I445" s="1">
        <v>15</v>
      </c>
      <c r="J445" s="1">
        <v>268.60000000000002</v>
      </c>
      <c r="K445" s="1" t="s">
        <v>55</v>
      </c>
      <c r="L445" s="1" t="str">
        <f t="shared" si="13"/>
        <v>Apr</v>
      </c>
      <c r="M445" s="2">
        <f>(H445-_xlfn.XLOOKUP(D445,Product_Master!A:A,Product_Master!D:D))*G445</f>
        <v>190</v>
      </c>
      <c r="N445" s="13">
        <f t="shared" si="12"/>
        <v>0.70737155621742365</v>
      </c>
      <c r="O445" s="16">
        <f>G445/Inventory!$G$2</f>
        <v>3.5087719298245612E-2</v>
      </c>
      <c r="P445"/>
      <c r="AA445"/>
      <c r="AB445"/>
      <c r="AC445"/>
    </row>
    <row r="446" spans="1:29">
      <c r="A446" s="1" t="s">
        <v>741</v>
      </c>
      <c r="B446" s="1" t="s">
        <v>91</v>
      </c>
      <c r="C446" s="1" t="s">
        <v>224</v>
      </c>
      <c r="D446" s="1" t="s">
        <v>162</v>
      </c>
      <c r="E446" s="1" t="s">
        <v>192</v>
      </c>
      <c r="F446" s="1" t="s">
        <v>146</v>
      </c>
      <c r="G446" s="1">
        <v>1</v>
      </c>
      <c r="H446" s="1">
        <v>168</v>
      </c>
      <c r="I446" s="1">
        <v>5</v>
      </c>
      <c r="J446" s="1">
        <v>159.6</v>
      </c>
      <c r="K446" s="1" t="s">
        <v>55</v>
      </c>
      <c r="L446" s="1" t="str">
        <f t="shared" si="13"/>
        <v>Mar</v>
      </c>
      <c r="M446" s="2">
        <f>(H446-_xlfn.XLOOKUP(D446,Product_Master!A:A,Product_Master!D:D))*G446</f>
        <v>55</v>
      </c>
      <c r="N446" s="13">
        <f t="shared" si="12"/>
        <v>0.34461152882205515</v>
      </c>
      <c r="O446" s="16">
        <f>G446/Inventory!$G$2</f>
        <v>1.7543859649122806E-2</v>
      </c>
      <c r="P446"/>
      <c r="AA446"/>
      <c r="AB446"/>
      <c r="AC446"/>
    </row>
    <row r="447" spans="1:29">
      <c r="A447" s="1" t="s">
        <v>742</v>
      </c>
      <c r="B447" s="1" t="s">
        <v>394</v>
      </c>
      <c r="C447" s="1" t="s">
        <v>72</v>
      </c>
      <c r="D447" s="1" t="s">
        <v>154</v>
      </c>
      <c r="E447" s="1" t="s">
        <v>184</v>
      </c>
      <c r="F447" s="1" t="s">
        <v>17</v>
      </c>
      <c r="G447" s="1">
        <v>2</v>
      </c>
      <c r="H447" s="1">
        <v>151</v>
      </c>
      <c r="I447" s="1">
        <v>10</v>
      </c>
      <c r="J447" s="1">
        <v>271.8</v>
      </c>
      <c r="K447" s="1" t="s">
        <v>76</v>
      </c>
      <c r="L447" s="1" t="str">
        <f t="shared" si="13"/>
        <v>Jun</v>
      </c>
      <c r="M447" s="2">
        <f>(H447-_xlfn.XLOOKUP(D447,Product_Master!A:A,Product_Master!D:D))*G447</f>
        <v>106</v>
      </c>
      <c r="N447" s="13">
        <f t="shared" si="12"/>
        <v>0.38999264164827074</v>
      </c>
      <c r="O447" s="16">
        <f>G447/Inventory!$G$2</f>
        <v>3.5087719298245612E-2</v>
      </c>
      <c r="P447"/>
      <c r="AA447"/>
      <c r="AB447"/>
      <c r="AC447"/>
    </row>
    <row r="448" spans="1:29">
      <c r="A448" s="1" t="s">
        <v>743</v>
      </c>
      <c r="B448" s="1" t="s">
        <v>108</v>
      </c>
      <c r="C448" s="1" t="s">
        <v>45</v>
      </c>
      <c r="D448" s="1" t="s">
        <v>167</v>
      </c>
      <c r="E448" s="1" t="s">
        <v>197</v>
      </c>
      <c r="F448" s="1" t="s">
        <v>17</v>
      </c>
      <c r="G448" s="1">
        <v>4</v>
      </c>
      <c r="H448" s="1">
        <v>135</v>
      </c>
      <c r="I448" s="1">
        <v>5</v>
      </c>
      <c r="J448" s="1">
        <v>513</v>
      </c>
      <c r="K448" s="1" t="s">
        <v>46</v>
      </c>
      <c r="L448" s="1" t="str">
        <f t="shared" si="13"/>
        <v>Jan</v>
      </c>
      <c r="M448" s="2">
        <f>(H448-_xlfn.XLOOKUP(D448,Product_Master!A:A,Product_Master!D:D))*G448</f>
        <v>320</v>
      </c>
      <c r="N448" s="13">
        <f t="shared" si="12"/>
        <v>0.62378167641325533</v>
      </c>
      <c r="O448" s="16">
        <f>G448/Inventory!$G$2</f>
        <v>7.0175438596491224E-2</v>
      </c>
      <c r="P448"/>
      <c r="AA448"/>
      <c r="AB448"/>
      <c r="AC448"/>
    </row>
    <row r="449" spans="1:29">
      <c r="A449" s="1" t="s">
        <v>744</v>
      </c>
      <c r="B449" s="1" t="s">
        <v>270</v>
      </c>
      <c r="C449" s="1" t="s">
        <v>51</v>
      </c>
      <c r="D449" s="1" t="s">
        <v>160</v>
      </c>
      <c r="E449" s="1" t="s">
        <v>190</v>
      </c>
      <c r="F449" s="1" t="s">
        <v>7</v>
      </c>
      <c r="G449" s="1">
        <v>11</v>
      </c>
      <c r="H449" s="1">
        <v>37</v>
      </c>
      <c r="I449" s="1">
        <v>0</v>
      </c>
      <c r="J449" s="1">
        <v>407</v>
      </c>
      <c r="K449" s="1" t="s">
        <v>55</v>
      </c>
      <c r="L449" s="1" t="str">
        <f t="shared" si="13"/>
        <v>May</v>
      </c>
      <c r="M449" s="2">
        <f>(H449-_xlfn.XLOOKUP(D449,Product_Master!A:A,Product_Master!D:D))*G449</f>
        <v>286</v>
      </c>
      <c r="N449" s="13">
        <f t="shared" si="12"/>
        <v>0.70270270270270274</v>
      </c>
      <c r="O449" s="16">
        <f>G449/Inventory!$G$2</f>
        <v>0.19298245614035087</v>
      </c>
      <c r="P449"/>
      <c r="AA449"/>
      <c r="AB449"/>
      <c r="AC449"/>
    </row>
    <row r="450" spans="1:29">
      <c r="A450" s="1" t="s">
        <v>745</v>
      </c>
      <c r="B450" s="1" t="s">
        <v>47</v>
      </c>
      <c r="C450" s="1" t="s">
        <v>51</v>
      </c>
      <c r="D450" s="1" t="s">
        <v>166</v>
      </c>
      <c r="E450" s="1" t="s">
        <v>196</v>
      </c>
      <c r="F450" s="1" t="s">
        <v>7</v>
      </c>
      <c r="G450" s="1">
        <v>8</v>
      </c>
      <c r="H450" s="1">
        <v>100</v>
      </c>
      <c r="I450" s="1">
        <v>10</v>
      </c>
      <c r="J450" s="1">
        <v>720</v>
      </c>
      <c r="K450" s="1" t="s">
        <v>55</v>
      </c>
      <c r="L450" s="1" t="str">
        <f t="shared" si="13"/>
        <v>Jan</v>
      </c>
      <c r="M450" s="2">
        <f>(H450-_xlfn.XLOOKUP(D450,Product_Master!A:A,Product_Master!D:D))*G450</f>
        <v>176</v>
      </c>
      <c r="N450" s="13">
        <f t="shared" si="12"/>
        <v>0.24444444444444444</v>
      </c>
      <c r="O450" s="16">
        <f>G450/Inventory!$G$2</f>
        <v>0.14035087719298245</v>
      </c>
      <c r="P450"/>
      <c r="AA450"/>
      <c r="AB450"/>
      <c r="AC450"/>
    </row>
    <row r="451" spans="1:29">
      <c r="A451" s="1" t="s">
        <v>746</v>
      </c>
      <c r="B451" s="1" t="s">
        <v>75</v>
      </c>
      <c r="C451" s="1" t="s">
        <v>48</v>
      </c>
      <c r="D451" s="1" t="s">
        <v>167</v>
      </c>
      <c r="E451" s="1" t="s">
        <v>197</v>
      </c>
      <c r="F451" s="1" t="s">
        <v>17</v>
      </c>
      <c r="G451" s="1">
        <v>1</v>
      </c>
      <c r="H451" s="1">
        <v>135</v>
      </c>
      <c r="I451" s="1">
        <v>15</v>
      </c>
      <c r="J451" s="1">
        <v>114.75</v>
      </c>
      <c r="K451" s="1" t="s">
        <v>49</v>
      </c>
      <c r="L451" s="1" t="str">
        <f t="shared" si="13"/>
        <v>Jan</v>
      </c>
      <c r="M451" s="2">
        <f>(H451-_xlfn.XLOOKUP(D451,Product_Master!A:A,Product_Master!D:D))*G451</f>
        <v>80</v>
      </c>
      <c r="N451" s="13">
        <f t="shared" ref="N451:N501" si="14">M451/J451</f>
        <v>0.69716775599128544</v>
      </c>
      <c r="O451" s="16">
        <f>G451/Inventory!$G$2</f>
        <v>1.7543859649122806E-2</v>
      </c>
      <c r="P451"/>
      <c r="AA451"/>
      <c r="AB451"/>
      <c r="AC451"/>
    </row>
    <row r="452" spans="1:29">
      <c r="A452" s="1" t="s">
        <v>747</v>
      </c>
      <c r="B452" s="1" t="s">
        <v>91</v>
      </c>
      <c r="C452" s="1" t="s">
        <v>222</v>
      </c>
      <c r="D452" s="1" t="s">
        <v>149</v>
      </c>
      <c r="E452" s="1" t="s">
        <v>179</v>
      </c>
      <c r="F452" s="1" t="s">
        <v>17</v>
      </c>
      <c r="G452" s="1">
        <v>6</v>
      </c>
      <c r="H452" s="1">
        <v>98</v>
      </c>
      <c r="I452" s="1">
        <v>0</v>
      </c>
      <c r="J452" s="1">
        <v>588</v>
      </c>
      <c r="K452" s="1" t="s">
        <v>55</v>
      </c>
      <c r="L452" s="1" t="str">
        <f t="shared" ref="L452:L501" si="15">TEXT(B452,"mmm")</f>
        <v>Mar</v>
      </c>
      <c r="M452" s="2">
        <f>(H452-_xlfn.XLOOKUP(D452,Product_Master!A:A,Product_Master!D:D))*G452</f>
        <v>132</v>
      </c>
      <c r="N452" s="13">
        <f t="shared" si="14"/>
        <v>0.22448979591836735</v>
      </c>
      <c r="O452" s="16">
        <f>G452/Inventory!$G$2</f>
        <v>0.10526315789473684</v>
      </c>
      <c r="P452"/>
      <c r="AA452"/>
      <c r="AB452"/>
      <c r="AC452"/>
    </row>
    <row r="453" spans="1:29">
      <c r="A453" s="1" t="s">
        <v>748</v>
      </c>
      <c r="B453" s="1" t="s">
        <v>122</v>
      </c>
      <c r="C453" s="1" t="s">
        <v>259</v>
      </c>
      <c r="D453" s="1" t="s">
        <v>173</v>
      </c>
      <c r="E453" s="1" t="s">
        <v>203</v>
      </c>
      <c r="F453" s="1" t="s">
        <v>17</v>
      </c>
      <c r="G453" s="1">
        <v>4</v>
      </c>
      <c r="H453" s="1">
        <v>139</v>
      </c>
      <c r="I453" s="1">
        <v>10</v>
      </c>
      <c r="J453" s="1">
        <v>500.4</v>
      </c>
      <c r="K453" s="1" t="s">
        <v>76</v>
      </c>
      <c r="L453" s="1" t="str">
        <f t="shared" si="15"/>
        <v>Jan</v>
      </c>
      <c r="M453" s="2">
        <f>(H453-_xlfn.XLOOKUP(D453,Product_Master!A:A,Product_Master!D:D))*G453</f>
        <v>280</v>
      </c>
      <c r="N453" s="13">
        <f t="shared" si="14"/>
        <v>0.55955235811350923</v>
      </c>
      <c r="O453" s="16">
        <f>G453/Inventory!$G$2</f>
        <v>7.0175438596491224E-2</v>
      </c>
      <c r="P453"/>
      <c r="AA453"/>
      <c r="AB453"/>
      <c r="AC453"/>
    </row>
    <row r="454" spans="1:29">
      <c r="A454" s="1" t="s">
        <v>749</v>
      </c>
      <c r="B454" s="1" t="s">
        <v>357</v>
      </c>
      <c r="C454" s="1" t="s">
        <v>224</v>
      </c>
      <c r="D454" s="1" t="s">
        <v>152</v>
      </c>
      <c r="E454" s="1" t="s">
        <v>182</v>
      </c>
      <c r="F454" s="1" t="s">
        <v>146</v>
      </c>
      <c r="G454" s="1">
        <v>14</v>
      </c>
      <c r="H454" s="1">
        <v>158</v>
      </c>
      <c r="I454" s="1">
        <v>0</v>
      </c>
      <c r="J454" s="1">
        <v>2212</v>
      </c>
      <c r="K454" s="1" t="s">
        <v>46</v>
      </c>
      <c r="L454" s="1" t="str">
        <f t="shared" si="15"/>
        <v>Mar</v>
      </c>
      <c r="M454" s="2">
        <f>(H454-_xlfn.XLOOKUP(D454,Product_Master!A:A,Product_Master!D:D))*G454</f>
        <v>1330</v>
      </c>
      <c r="N454" s="13">
        <f t="shared" si="14"/>
        <v>0.60126582278481011</v>
      </c>
      <c r="O454" s="16">
        <f>G454/Inventory!$G$2</f>
        <v>0.24561403508771928</v>
      </c>
      <c r="P454"/>
      <c r="AA454"/>
      <c r="AB454"/>
      <c r="AC454"/>
    </row>
    <row r="455" spans="1:29">
      <c r="A455" s="1" t="s">
        <v>750</v>
      </c>
      <c r="B455" s="1" t="s">
        <v>83</v>
      </c>
      <c r="C455" s="1" t="s">
        <v>259</v>
      </c>
      <c r="D455" s="1" t="s">
        <v>168</v>
      </c>
      <c r="E455" s="1" t="s">
        <v>198</v>
      </c>
      <c r="F455" s="1" t="s">
        <v>17</v>
      </c>
      <c r="G455" s="1">
        <v>2</v>
      </c>
      <c r="H455" s="1">
        <v>119</v>
      </c>
      <c r="I455" s="1">
        <v>5</v>
      </c>
      <c r="J455" s="1">
        <v>226.1</v>
      </c>
      <c r="K455" s="1" t="s">
        <v>76</v>
      </c>
      <c r="L455" s="1" t="str">
        <f t="shared" si="15"/>
        <v>Jan</v>
      </c>
      <c r="M455" s="2">
        <f>(H455-_xlfn.XLOOKUP(D455,Product_Master!A:A,Product_Master!D:D))*G455</f>
        <v>94</v>
      </c>
      <c r="N455" s="13">
        <f t="shared" si="14"/>
        <v>0.41574524546660768</v>
      </c>
      <c r="O455" s="16">
        <f>G455/Inventory!$G$2</f>
        <v>3.5087719298245612E-2</v>
      </c>
      <c r="P455"/>
      <c r="AA455"/>
      <c r="AB455"/>
      <c r="AC455"/>
    </row>
    <row r="456" spans="1:29">
      <c r="A456" s="1" t="s">
        <v>751</v>
      </c>
      <c r="B456" s="1" t="s">
        <v>135</v>
      </c>
      <c r="C456" s="1" t="s">
        <v>224</v>
      </c>
      <c r="D456" s="1" t="s">
        <v>163</v>
      </c>
      <c r="E456" s="1" t="s">
        <v>193</v>
      </c>
      <c r="F456" s="1" t="s">
        <v>146</v>
      </c>
      <c r="G456" s="1">
        <v>10</v>
      </c>
      <c r="H456" s="1">
        <v>82</v>
      </c>
      <c r="I456" s="1">
        <v>5</v>
      </c>
      <c r="J456" s="1">
        <v>779</v>
      </c>
      <c r="K456" s="1" t="s">
        <v>46</v>
      </c>
      <c r="L456" s="1" t="str">
        <f t="shared" si="15"/>
        <v>Feb</v>
      </c>
      <c r="M456" s="2">
        <f>(H456-_xlfn.XLOOKUP(D456,Product_Master!A:A,Product_Master!D:D))*G456</f>
        <v>400</v>
      </c>
      <c r="N456" s="13">
        <f t="shared" si="14"/>
        <v>0.51347881899871628</v>
      </c>
      <c r="O456" s="16">
        <f>G456/Inventory!$G$2</f>
        <v>0.17543859649122806</v>
      </c>
      <c r="P456"/>
      <c r="AA456"/>
      <c r="AB456"/>
      <c r="AC456"/>
    </row>
    <row r="457" spans="1:29">
      <c r="A457" s="1" t="s">
        <v>752</v>
      </c>
      <c r="B457" s="1" t="s">
        <v>514</v>
      </c>
      <c r="C457" s="1" t="s">
        <v>65</v>
      </c>
      <c r="D457" s="1" t="s">
        <v>149</v>
      </c>
      <c r="E457" s="1" t="s">
        <v>179</v>
      </c>
      <c r="F457" s="1" t="s">
        <v>17</v>
      </c>
      <c r="G457" s="1">
        <v>10</v>
      </c>
      <c r="H457" s="1">
        <v>98</v>
      </c>
      <c r="I457" s="1">
        <v>5</v>
      </c>
      <c r="J457" s="1">
        <v>931</v>
      </c>
      <c r="K457" s="1" t="s">
        <v>46</v>
      </c>
      <c r="L457" s="1" t="str">
        <f t="shared" si="15"/>
        <v>Apr</v>
      </c>
      <c r="M457" s="2">
        <f>(H457-_xlfn.XLOOKUP(D457,Product_Master!A:A,Product_Master!D:D))*G457</f>
        <v>220</v>
      </c>
      <c r="N457" s="13">
        <f t="shared" si="14"/>
        <v>0.23630504833512353</v>
      </c>
      <c r="O457" s="16">
        <f>G457/Inventory!$G$2</f>
        <v>0.17543859649122806</v>
      </c>
      <c r="P457"/>
      <c r="AA457"/>
      <c r="AB457"/>
      <c r="AC457"/>
    </row>
    <row r="458" spans="1:29">
      <c r="A458" s="1" t="s">
        <v>753</v>
      </c>
      <c r="B458" s="1" t="s">
        <v>134</v>
      </c>
      <c r="C458" s="1" t="s">
        <v>224</v>
      </c>
      <c r="D458" s="1" t="s">
        <v>24</v>
      </c>
      <c r="E458" s="1" t="s">
        <v>25</v>
      </c>
      <c r="F458" s="1" t="s">
        <v>146</v>
      </c>
      <c r="G458" s="1">
        <v>13</v>
      </c>
      <c r="H458" s="1">
        <v>96</v>
      </c>
      <c r="I458" s="1">
        <v>10</v>
      </c>
      <c r="J458" s="1">
        <v>1123.2</v>
      </c>
      <c r="K458" s="1" t="s">
        <v>215</v>
      </c>
      <c r="L458" s="1" t="str">
        <f t="shared" si="15"/>
        <v>Feb</v>
      </c>
      <c r="M458" s="2">
        <f>(H458-_xlfn.XLOOKUP(D458,Product_Master!A:A,Product_Master!D:D))*G458</f>
        <v>312</v>
      </c>
      <c r="N458" s="13">
        <f t="shared" si="14"/>
        <v>0.27777777777777779</v>
      </c>
      <c r="O458" s="16">
        <f>G458/Inventory!$G$2</f>
        <v>0.22807017543859648</v>
      </c>
      <c r="P458"/>
      <c r="AA458"/>
      <c r="AB458"/>
      <c r="AC458"/>
    </row>
    <row r="459" spans="1:29">
      <c r="A459" s="1" t="s">
        <v>754</v>
      </c>
      <c r="B459" s="1" t="s">
        <v>412</v>
      </c>
      <c r="C459" s="1" t="s">
        <v>222</v>
      </c>
      <c r="D459" s="1" t="s">
        <v>11</v>
      </c>
      <c r="E459" s="1" t="s">
        <v>12</v>
      </c>
      <c r="F459" s="1" t="s">
        <v>147</v>
      </c>
      <c r="G459" s="1">
        <v>15</v>
      </c>
      <c r="H459" s="1">
        <v>86</v>
      </c>
      <c r="I459" s="1">
        <v>15</v>
      </c>
      <c r="J459" s="1">
        <v>1096.5</v>
      </c>
      <c r="K459" s="1" t="s">
        <v>235</v>
      </c>
      <c r="L459" s="1" t="str">
        <f t="shared" si="15"/>
        <v>Apr</v>
      </c>
      <c r="M459" s="2">
        <f>(H459-_xlfn.XLOOKUP(D459,Product_Master!A:A,Product_Master!D:D))*G459</f>
        <v>300</v>
      </c>
      <c r="N459" s="13">
        <f t="shared" si="14"/>
        <v>0.27359781121751026</v>
      </c>
      <c r="O459" s="16">
        <f>G459/Inventory!$G$2</f>
        <v>0.26315789473684209</v>
      </c>
      <c r="P459"/>
      <c r="AA459"/>
      <c r="AB459"/>
      <c r="AC459"/>
    </row>
    <row r="460" spans="1:29">
      <c r="A460" s="1" t="s">
        <v>755</v>
      </c>
      <c r="B460" s="1" t="s">
        <v>106</v>
      </c>
      <c r="C460" s="1" t="s">
        <v>65</v>
      </c>
      <c r="D460" s="1" t="s">
        <v>159</v>
      </c>
      <c r="E460" s="1" t="s">
        <v>189</v>
      </c>
      <c r="F460" s="1" t="s">
        <v>146</v>
      </c>
      <c r="G460" s="1">
        <v>12</v>
      </c>
      <c r="H460" s="1">
        <v>147</v>
      </c>
      <c r="I460" s="1">
        <v>10</v>
      </c>
      <c r="J460" s="1">
        <v>1587.6</v>
      </c>
      <c r="K460" s="1" t="s">
        <v>46</v>
      </c>
      <c r="L460" s="1" t="str">
        <f t="shared" si="15"/>
        <v>Jan</v>
      </c>
      <c r="M460" s="2">
        <f>(H460-_xlfn.XLOOKUP(D460,Product_Master!A:A,Product_Master!D:D))*G460</f>
        <v>1032</v>
      </c>
      <c r="N460" s="13">
        <f t="shared" si="14"/>
        <v>0.6500377928949358</v>
      </c>
      <c r="O460" s="16">
        <f>G460/Inventory!$G$2</f>
        <v>0.21052631578947367</v>
      </c>
      <c r="P460"/>
      <c r="AA460"/>
      <c r="AB460"/>
      <c r="AC460"/>
    </row>
    <row r="461" spans="1:29">
      <c r="A461" s="1" t="s">
        <v>756</v>
      </c>
      <c r="B461" s="1" t="s">
        <v>87</v>
      </c>
      <c r="C461" s="1" t="s">
        <v>65</v>
      </c>
      <c r="D461" s="1" t="s">
        <v>15</v>
      </c>
      <c r="E461" s="1" t="s">
        <v>16</v>
      </c>
      <c r="F461" s="1" t="s">
        <v>10</v>
      </c>
      <c r="G461" s="1">
        <v>14</v>
      </c>
      <c r="H461" s="1">
        <v>98</v>
      </c>
      <c r="I461" s="1">
        <v>5</v>
      </c>
      <c r="J461" s="1">
        <v>1303.4000000000001</v>
      </c>
      <c r="K461" s="1" t="s">
        <v>235</v>
      </c>
      <c r="L461" s="1" t="str">
        <f t="shared" si="15"/>
        <v>Mar</v>
      </c>
      <c r="M461" s="2">
        <f>(H461-_xlfn.XLOOKUP(D461,Product_Master!A:A,Product_Master!D:D))*G461</f>
        <v>812</v>
      </c>
      <c r="N461" s="13">
        <f t="shared" si="14"/>
        <v>0.62298603651987106</v>
      </c>
      <c r="O461" s="16">
        <f>G461/Inventory!$G$2</f>
        <v>0.24561403508771928</v>
      </c>
      <c r="P461"/>
      <c r="AA461"/>
      <c r="AB461"/>
      <c r="AC461"/>
    </row>
    <row r="462" spans="1:29">
      <c r="A462" s="1" t="s">
        <v>757</v>
      </c>
      <c r="B462" s="1" t="s">
        <v>241</v>
      </c>
      <c r="C462" s="1" t="s">
        <v>57</v>
      </c>
      <c r="D462" s="1" t="s">
        <v>175</v>
      </c>
      <c r="E462" s="1" t="s">
        <v>205</v>
      </c>
      <c r="F462" s="1" t="s">
        <v>10</v>
      </c>
      <c r="G462" s="1">
        <v>3</v>
      </c>
      <c r="H462" s="1">
        <v>113</v>
      </c>
      <c r="I462" s="1">
        <v>15</v>
      </c>
      <c r="J462" s="1">
        <v>288.14999999999998</v>
      </c>
      <c r="K462" s="1" t="s">
        <v>215</v>
      </c>
      <c r="L462" s="1" t="str">
        <f t="shared" si="15"/>
        <v>May</v>
      </c>
      <c r="M462" s="2">
        <f>(H462-_xlfn.XLOOKUP(D462,Product_Master!A:A,Product_Master!D:D))*G462</f>
        <v>150</v>
      </c>
      <c r="N462" s="13">
        <f t="shared" si="14"/>
        <v>0.52056220718375845</v>
      </c>
      <c r="O462" s="16">
        <f>G462/Inventory!$G$2</f>
        <v>5.2631578947368418E-2</v>
      </c>
      <c r="P462"/>
      <c r="AA462"/>
      <c r="AB462"/>
      <c r="AC462"/>
    </row>
    <row r="463" spans="1:29">
      <c r="A463" s="1" t="s">
        <v>758</v>
      </c>
      <c r="B463" s="1" t="s">
        <v>726</v>
      </c>
      <c r="C463" s="1" t="s">
        <v>48</v>
      </c>
      <c r="D463" s="1" t="s">
        <v>160</v>
      </c>
      <c r="E463" s="1" t="s">
        <v>190</v>
      </c>
      <c r="F463" s="1" t="s">
        <v>7</v>
      </c>
      <c r="G463" s="1">
        <v>5</v>
      </c>
      <c r="H463" s="1">
        <v>37</v>
      </c>
      <c r="I463" s="1">
        <v>0</v>
      </c>
      <c r="J463" s="1">
        <v>185</v>
      </c>
      <c r="K463" s="1" t="s">
        <v>46</v>
      </c>
      <c r="L463" s="1" t="str">
        <f t="shared" si="15"/>
        <v>Jun</v>
      </c>
      <c r="M463" s="2">
        <f>(H463-_xlfn.XLOOKUP(D463,Product_Master!A:A,Product_Master!D:D))*G463</f>
        <v>130</v>
      </c>
      <c r="N463" s="13">
        <f t="shared" si="14"/>
        <v>0.70270270270270274</v>
      </c>
      <c r="O463" s="16">
        <f>G463/Inventory!$G$2</f>
        <v>8.771929824561403E-2</v>
      </c>
      <c r="P463"/>
      <c r="AA463"/>
      <c r="AB463"/>
      <c r="AC463"/>
    </row>
    <row r="464" spans="1:29">
      <c r="A464" s="1" t="s">
        <v>759</v>
      </c>
      <c r="B464" s="1" t="s">
        <v>95</v>
      </c>
      <c r="C464" s="1" t="s">
        <v>222</v>
      </c>
      <c r="D464" s="1" t="s">
        <v>151</v>
      </c>
      <c r="E464" s="1" t="s">
        <v>181</v>
      </c>
      <c r="F464" s="1" t="s">
        <v>7</v>
      </c>
      <c r="G464" s="1">
        <v>5</v>
      </c>
      <c r="H464" s="1">
        <v>96</v>
      </c>
      <c r="I464" s="1">
        <v>5</v>
      </c>
      <c r="J464" s="1">
        <v>456</v>
      </c>
      <c r="K464" s="1" t="s">
        <v>49</v>
      </c>
      <c r="L464" s="1" t="str">
        <f t="shared" si="15"/>
        <v>Mar</v>
      </c>
      <c r="M464" s="2">
        <f>(H464-_xlfn.XLOOKUP(D464,Product_Master!A:A,Product_Master!D:D))*G464</f>
        <v>380</v>
      </c>
      <c r="N464" s="13">
        <f t="shared" si="14"/>
        <v>0.83333333333333337</v>
      </c>
      <c r="O464" s="16">
        <f>G464/Inventory!$G$2</f>
        <v>8.771929824561403E-2</v>
      </c>
      <c r="P464"/>
      <c r="AA464"/>
      <c r="AB464"/>
      <c r="AC464"/>
    </row>
    <row r="465" spans="1:29">
      <c r="A465" s="1" t="s">
        <v>760</v>
      </c>
      <c r="B465" s="1" t="s">
        <v>761</v>
      </c>
      <c r="C465" s="1" t="s">
        <v>54</v>
      </c>
      <c r="D465" s="1" t="s">
        <v>174</v>
      </c>
      <c r="E465" s="1" t="s">
        <v>204</v>
      </c>
      <c r="F465" s="1" t="s">
        <v>7</v>
      </c>
      <c r="G465" s="1">
        <v>15</v>
      </c>
      <c r="H465" s="1">
        <v>160</v>
      </c>
      <c r="I465" s="1">
        <v>5</v>
      </c>
      <c r="J465" s="1">
        <v>2280</v>
      </c>
      <c r="K465" s="1" t="s">
        <v>55</v>
      </c>
      <c r="L465" s="1" t="str">
        <f t="shared" si="15"/>
        <v>May</v>
      </c>
      <c r="M465" s="2">
        <f>(H465-_xlfn.XLOOKUP(D465,Product_Master!A:A,Product_Master!D:D))*G465</f>
        <v>825</v>
      </c>
      <c r="N465" s="13">
        <f t="shared" si="14"/>
        <v>0.36184210526315791</v>
      </c>
      <c r="O465" s="16">
        <f>G465/Inventory!$G$2</f>
        <v>0.26315789473684209</v>
      </c>
      <c r="P465"/>
      <c r="AA465"/>
      <c r="AB465"/>
      <c r="AC465"/>
    </row>
    <row r="466" spans="1:29">
      <c r="A466" s="1" t="s">
        <v>762</v>
      </c>
      <c r="B466" s="1" t="s">
        <v>486</v>
      </c>
      <c r="C466" s="1" t="s">
        <v>69</v>
      </c>
      <c r="D466" s="1" t="s">
        <v>175</v>
      </c>
      <c r="E466" s="1" t="s">
        <v>205</v>
      </c>
      <c r="F466" s="1" t="s">
        <v>10</v>
      </c>
      <c r="G466" s="1">
        <v>4</v>
      </c>
      <c r="H466" s="1">
        <v>113</v>
      </c>
      <c r="I466" s="1">
        <v>15</v>
      </c>
      <c r="J466" s="1">
        <v>384.2</v>
      </c>
      <c r="K466" s="1" t="s">
        <v>215</v>
      </c>
      <c r="L466" s="1" t="str">
        <f t="shared" si="15"/>
        <v>Jun</v>
      </c>
      <c r="M466" s="2">
        <f>(H466-_xlfn.XLOOKUP(D466,Product_Master!A:A,Product_Master!D:D))*G466</f>
        <v>200</v>
      </c>
      <c r="N466" s="13">
        <f t="shared" si="14"/>
        <v>0.52056220718375845</v>
      </c>
      <c r="O466" s="16">
        <f>G466/Inventory!$G$2</f>
        <v>7.0175438596491224E-2</v>
      </c>
      <c r="P466"/>
      <c r="AA466"/>
      <c r="AB466"/>
      <c r="AC466"/>
    </row>
    <row r="467" spans="1:29">
      <c r="A467" s="1" t="s">
        <v>763</v>
      </c>
      <c r="B467" s="1" t="s">
        <v>128</v>
      </c>
      <c r="C467" s="1" t="s">
        <v>211</v>
      </c>
      <c r="D467" s="1" t="s">
        <v>176</v>
      </c>
      <c r="E467" s="1" t="s">
        <v>206</v>
      </c>
      <c r="F467" s="1" t="s">
        <v>146</v>
      </c>
      <c r="G467" s="1">
        <v>8</v>
      </c>
      <c r="H467" s="1">
        <v>181</v>
      </c>
      <c r="I467" s="1">
        <v>5</v>
      </c>
      <c r="J467" s="1">
        <v>1375.6</v>
      </c>
      <c r="K467" s="1" t="s">
        <v>49</v>
      </c>
      <c r="L467" s="1" t="str">
        <f t="shared" si="15"/>
        <v>Mar</v>
      </c>
      <c r="M467" s="2">
        <f>(H467-_xlfn.XLOOKUP(D467,Product_Master!A:A,Product_Master!D:D))*G467</f>
        <v>504</v>
      </c>
      <c r="N467" s="13">
        <f t="shared" si="14"/>
        <v>0.36638557720267523</v>
      </c>
      <c r="O467" s="16">
        <f>G467/Inventory!$G$2</f>
        <v>0.14035087719298245</v>
      </c>
      <c r="P467"/>
      <c r="AA467"/>
      <c r="AB467"/>
      <c r="AC467"/>
    </row>
    <row r="468" spans="1:29">
      <c r="A468" s="1" t="s">
        <v>764</v>
      </c>
      <c r="B468" s="1" t="s">
        <v>92</v>
      </c>
      <c r="C468" s="1" t="s">
        <v>57</v>
      </c>
      <c r="D468" s="1" t="s">
        <v>149</v>
      </c>
      <c r="E468" s="1" t="s">
        <v>179</v>
      </c>
      <c r="F468" s="1" t="s">
        <v>17</v>
      </c>
      <c r="G468" s="1">
        <v>5</v>
      </c>
      <c r="H468" s="1">
        <v>98</v>
      </c>
      <c r="I468" s="1">
        <v>15</v>
      </c>
      <c r="J468" s="1">
        <v>416.5</v>
      </c>
      <c r="K468" s="1" t="s">
        <v>235</v>
      </c>
      <c r="L468" s="1" t="str">
        <f t="shared" si="15"/>
        <v>Mar</v>
      </c>
      <c r="M468" s="2">
        <f>(H468-_xlfn.XLOOKUP(D468,Product_Master!A:A,Product_Master!D:D))*G468</f>
        <v>110</v>
      </c>
      <c r="N468" s="13">
        <f t="shared" si="14"/>
        <v>0.26410564225690275</v>
      </c>
      <c r="O468" s="16">
        <f>G468/Inventory!$G$2</f>
        <v>8.771929824561403E-2</v>
      </c>
      <c r="P468"/>
      <c r="AA468"/>
      <c r="AB468"/>
      <c r="AC468"/>
    </row>
    <row r="469" spans="1:29">
      <c r="A469" s="1" t="s">
        <v>765</v>
      </c>
      <c r="B469" s="1" t="s">
        <v>96</v>
      </c>
      <c r="C469" s="1" t="s">
        <v>48</v>
      </c>
      <c r="D469" s="1" t="s">
        <v>154</v>
      </c>
      <c r="E469" s="1" t="s">
        <v>184</v>
      </c>
      <c r="F469" s="1" t="s">
        <v>17</v>
      </c>
      <c r="G469" s="1">
        <v>9</v>
      </c>
      <c r="H469" s="1">
        <v>151</v>
      </c>
      <c r="I469" s="1">
        <v>15</v>
      </c>
      <c r="J469" s="1">
        <v>1155.1500000000001</v>
      </c>
      <c r="K469" s="1" t="s">
        <v>46</v>
      </c>
      <c r="L469" s="1" t="str">
        <f t="shared" si="15"/>
        <v>Jan</v>
      </c>
      <c r="M469" s="2">
        <f>(H469-_xlfn.XLOOKUP(D469,Product_Master!A:A,Product_Master!D:D))*G469</f>
        <v>477</v>
      </c>
      <c r="N469" s="13">
        <f t="shared" si="14"/>
        <v>0.41293338527463963</v>
      </c>
      <c r="O469" s="16">
        <f>G469/Inventory!$G$2</f>
        <v>0.15789473684210525</v>
      </c>
      <c r="P469"/>
      <c r="AA469"/>
      <c r="AB469"/>
      <c r="AC469"/>
    </row>
    <row r="470" spans="1:29">
      <c r="A470" s="1" t="s">
        <v>766</v>
      </c>
      <c r="B470" s="1" t="s">
        <v>510</v>
      </c>
      <c r="C470" s="1" t="s">
        <v>48</v>
      </c>
      <c r="D470" s="1" t="s">
        <v>156</v>
      </c>
      <c r="E470" s="1" t="s">
        <v>186</v>
      </c>
      <c r="F470" s="1" t="s">
        <v>147</v>
      </c>
      <c r="G470" s="1">
        <v>10</v>
      </c>
      <c r="H470" s="1">
        <v>95</v>
      </c>
      <c r="I470" s="1">
        <v>10</v>
      </c>
      <c r="J470" s="1">
        <v>855</v>
      </c>
      <c r="K470" s="1" t="s">
        <v>46</v>
      </c>
      <c r="L470" s="1" t="str">
        <f t="shared" si="15"/>
        <v>May</v>
      </c>
      <c r="M470" s="2">
        <f>(H470-_xlfn.XLOOKUP(D470,Product_Master!A:A,Product_Master!D:D))*G470</f>
        <v>740</v>
      </c>
      <c r="N470" s="13">
        <f t="shared" si="14"/>
        <v>0.86549707602339176</v>
      </c>
      <c r="O470" s="16">
        <f>G470/Inventory!$G$2</f>
        <v>0.17543859649122806</v>
      </c>
      <c r="P470"/>
      <c r="AA470"/>
      <c r="AB470"/>
      <c r="AC470"/>
    </row>
    <row r="471" spans="1:29">
      <c r="A471" s="1" t="s">
        <v>767</v>
      </c>
      <c r="B471" s="1" t="s">
        <v>596</v>
      </c>
      <c r="C471" s="1" t="s">
        <v>57</v>
      </c>
      <c r="D471" s="1" t="s">
        <v>158</v>
      </c>
      <c r="E471" s="1" t="s">
        <v>188</v>
      </c>
      <c r="F471" s="1" t="s">
        <v>10</v>
      </c>
      <c r="G471" s="1">
        <v>3</v>
      </c>
      <c r="H471" s="1">
        <v>65</v>
      </c>
      <c r="I471" s="1">
        <v>15</v>
      </c>
      <c r="J471" s="1">
        <v>165.75</v>
      </c>
      <c r="K471" s="1" t="s">
        <v>49</v>
      </c>
      <c r="L471" s="1" t="str">
        <f t="shared" si="15"/>
        <v>Jun</v>
      </c>
      <c r="M471" s="2">
        <f>(H471-_xlfn.XLOOKUP(D471,Product_Master!A:A,Product_Master!D:D))*G471</f>
        <v>66</v>
      </c>
      <c r="N471" s="13">
        <f t="shared" si="14"/>
        <v>0.39819004524886875</v>
      </c>
      <c r="O471" s="16">
        <f>G471/Inventory!$G$2</f>
        <v>5.2631578947368418E-2</v>
      </c>
      <c r="P471"/>
      <c r="AA471"/>
      <c r="AB471"/>
      <c r="AC471"/>
    </row>
    <row r="472" spans="1:29">
      <c r="A472" s="1" t="s">
        <v>768</v>
      </c>
      <c r="B472" s="1" t="s">
        <v>573</v>
      </c>
      <c r="C472" s="1" t="s">
        <v>51</v>
      </c>
      <c r="D472" s="1" t="s">
        <v>170</v>
      </c>
      <c r="E472" s="1" t="s">
        <v>200</v>
      </c>
      <c r="F472" s="1" t="s">
        <v>17</v>
      </c>
      <c r="G472" s="1">
        <v>6</v>
      </c>
      <c r="H472" s="1">
        <v>52</v>
      </c>
      <c r="I472" s="1">
        <v>10</v>
      </c>
      <c r="J472" s="1">
        <v>280.8</v>
      </c>
      <c r="K472" s="1" t="s">
        <v>49</v>
      </c>
      <c r="L472" s="1" t="str">
        <f t="shared" si="15"/>
        <v>May</v>
      </c>
      <c r="M472" s="2">
        <f>(H472-_xlfn.XLOOKUP(D472,Product_Master!A:A,Product_Master!D:D))*G472</f>
        <v>234</v>
      </c>
      <c r="N472" s="13">
        <f t="shared" si="14"/>
        <v>0.83333333333333326</v>
      </c>
      <c r="O472" s="16">
        <f>G472/Inventory!$G$2</f>
        <v>0.10526315789473684</v>
      </c>
      <c r="P472"/>
      <c r="AA472"/>
      <c r="AB472"/>
      <c r="AC472"/>
    </row>
    <row r="473" spans="1:29">
      <c r="A473" s="1" t="s">
        <v>769</v>
      </c>
      <c r="B473" s="1" t="s">
        <v>331</v>
      </c>
      <c r="C473" s="1" t="s">
        <v>224</v>
      </c>
      <c r="D473" s="1" t="s">
        <v>160</v>
      </c>
      <c r="E473" s="1" t="s">
        <v>190</v>
      </c>
      <c r="F473" s="1" t="s">
        <v>7</v>
      </c>
      <c r="G473" s="1">
        <v>1</v>
      </c>
      <c r="H473" s="1">
        <v>37</v>
      </c>
      <c r="I473" s="1">
        <v>5</v>
      </c>
      <c r="J473" s="1">
        <v>35.15</v>
      </c>
      <c r="K473" s="1" t="s">
        <v>49</v>
      </c>
      <c r="L473" s="1" t="str">
        <f t="shared" si="15"/>
        <v>May</v>
      </c>
      <c r="M473" s="2">
        <f>(H473-_xlfn.XLOOKUP(D473,Product_Master!A:A,Product_Master!D:D))*G473</f>
        <v>26</v>
      </c>
      <c r="N473" s="13">
        <f t="shared" si="14"/>
        <v>0.73968705547652924</v>
      </c>
      <c r="O473" s="16">
        <f>G473/Inventory!$G$2</f>
        <v>1.7543859649122806E-2</v>
      </c>
      <c r="P473"/>
      <c r="AA473"/>
      <c r="AB473"/>
      <c r="AC473"/>
    </row>
    <row r="474" spans="1:29">
      <c r="A474" s="1" t="s">
        <v>770</v>
      </c>
      <c r="B474" s="1" t="s">
        <v>377</v>
      </c>
      <c r="C474" s="1" t="s">
        <v>259</v>
      </c>
      <c r="D474" s="1" t="s">
        <v>171</v>
      </c>
      <c r="E474" s="1" t="s">
        <v>201</v>
      </c>
      <c r="F474" s="1" t="s">
        <v>17</v>
      </c>
      <c r="G474" s="1">
        <v>5</v>
      </c>
      <c r="H474" s="1">
        <v>154</v>
      </c>
      <c r="I474" s="1">
        <v>0</v>
      </c>
      <c r="J474" s="1">
        <v>770</v>
      </c>
      <c r="K474" s="1" t="s">
        <v>215</v>
      </c>
      <c r="L474" s="1" t="str">
        <f t="shared" si="15"/>
        <v>Jun</v>
      </c>
      <c r="M474" s="2">
        <f>(H474-_xlfn.XLOOKUP(D474,Product_Master!A:A,Product_Master!D:D))*G474</f>
        <v>290</v>
      </c>
      <c r="N474" s="13">
        <f t="shared" si="14"/>
        <v>0.37662337662337664</v>
      </c>
      <c r="O474" s="16">
        <f>G474/Inventory!$G$2</f>
        <v>8.771929824561403E-2</v>
      </c>
      <c r="P474"/>
      <c r="AA474"/>
      <c r="AB474"/>
      <c r="AC474"/>
    </row>
    <row r="475" spans="1:29">
      <c r="A475" s="1" t="s">
        <v>771</v>
      </c>
      <c r="B475" s="1" t="s">
        <v>67</v>
      </c>
      <c r="C475" s="1" t="s">
        <v>69</v>
      </c>
      <c r="D475" s="1" t="s">
        <v>176</v>
      </c>
      <c r="E475" s="1" t="s">
        <v>206</v>
      </c>
      <c r="F475" s="1" t="s">
        <v>146</v>
      </c>
      <c r="G475" s="1">
        <v>14</v>
      </c>
      <c r="H475" s="1">
        <v>181</v>
      </c>
      <c r="I475" s="1">
        <v>15</v>
      </c>
      <c r="J475" s="1">
        <v>2153.9</v>
      </c>
      <c r="K475" s="1" t="s">
        <v>76</v>
      </c>
      <c r="L475" s="1" t="str">
        <f t="shared" si="15"/>
        <v>Jan</v>
      </c>
      <c r="M475" s="2">
        <f>(H475-_xlfn.XLOOKUP(D475,Product_Master!A:A,Product_Master!D:D))*G475</f>
        <v>882</v>
      </c>
      <c r="N475" s="13">
        <f t="shared" si="14"/>
        <v>0.40948976275593107</v>
      </c>
      <c r="O475" s="16">
        <f>G475/Inventory!$G$2</f>
        <v>0.24561403508771928</v>
      </c>
      <c r="P475"/>
      <c r="AA475"/>
      <c r="AB475"/>
      <c r="AC475"/>
    </row>
    <row r="476" spans="1:29">
      <c r="A476" s="1" t="s">
        <v>772</v>
      </c>
      <c r="B476" s="1" t="s">
        <v>426</v>
      </c>
      <c r="C476" s="1" t="s">
        <v>224</v>
      </c>
      <c r="D476" s="1" t="s">
        <v>154</v>
      </c>
      <c r="E476" s="1" t="s">
        <v>184</v>
      </c>
      <c r="F476" s="1" t="s">
        <v>17</v>
      </c>
      <c r="G476" s="1">
        <v>3</v>
      </c>
      <c r="H476" s="1">
        <v>151</v>
      </c>
      <c r="I476" s="1">
        <v>0</v>
      </c>
      <c r="J476" s="1">
        <v>453</v>
      </c>
      <c r="K476" s="1" t="s">
        <v>49</v>
      </c>
      <c r="L476" s="1" t="str">
        <f t="shared" si="15"/>
        <v>May</v>
      </c>
      <c r="M476" s="2">
        <f>(H476-_xlfn.XLOOKUP(D476,Product_Master!A:A,Product_Master!D:D))*G476</f>
        <v>159</v>
      </c>
      <c r="N476" s="13">
        <f t="shared" si="14"/>
        <v>0.35099337748344372</v>
      </c>
      <c r="O476" s="16">
        <f>G476/Inventory!$G$2</f>
        <v>5.2631578947368418E-2</v>
      </c>
      <c r="P476"/>
      <c r="AA476"/>
      <c r="AB476"/>
      <c r="AC476"/>
    </row>
    <row r="477" spans="1:29">
      <c r="A477" s="1" t="s">
        <v>773</v>
      </c>
      <c r="B477" s="1" t="s">
        <v>137</v>
      </c>
      <c r="C477" s="1" t="s">
        <v>65</v>
      </c>
      <c r="D477" s="1" t="s">
        <v>155</v>
      </c>
      <c r="E477" s="1" t="s">
        <v>185</v>
      </c>
      <c r="F477" s="1" t="s">
        <v>7</v>
      </c>
      <c r="G477" s="1">
        <v>7</v>
      </c>
      <c r="H477" s="1">
        <v>156</v>
      </c>
      <c r="I477" s="1">
        <v>5</v>
      </c>
      <c r="J477" s="1">
        <v>1037.4000000000001</v>
      </c>
      <c r="K477" s="1" t="s">
        <v>46</v>
      </c>
      <c r="L477" s="1" t="str">
        <f t="shared" si="15"/>
        <v>Mar</v>
      </c>
      <c r="M477" s="2">
        <f>(H477-_xlfn.XLOOKUP(D477,Product_Master!A:A,Product_Master!D:D))*G477</f>
        <v>441</v>
      </c>
      <c r="N477" s="13">
        <f t="shared" si="14"/>
        <v>0.42510121457489874</v>
      </c>
      <c r="O477" s="16">
        <f>G477/Inventory!$G$2</f>
        <v>0.12280701754385964</v>
      </c>
      <c r="P477"/>
      <c r="AA477"/>
      <c r="AB477"/>
      <c r="AC477"/>
    </row>
    <row r="478" spans="1:29">
      <c r="A478" s="1" t="s">
        <v>774</v>
      </c>
      <c r="B478" s="1" t="s">
        <v>111</v>
      </c>
      <c r="C478" s="1" t="s">
        <v>57</v>
      </c>
      <c r="D478" s="1" t="s">
        <v>172</v>
      </c>
      <c r="E478" s="1" t="s">
        <v>202</v>
      </c>
      <c r="F478" s="1" t="s">
        <v>17</v>
      </c>
      <c r="G478" s="1">
        <v>4</v>
      </c>
      <c r="H478" s="1">
        <v>199</v>
      </c>
      <c r="I478" s="1">
        <v>10</v>
      </c>
      <c r="J478" s="1">
        <v>716.4</v>
      </c>
      <c r="K478" s="1" t="s">
        <v>55</v>
      </c>
      <c r="L478" s="1" t="str">
        <f t="shared" si="15"/>
        <v>Feb</v>
      </c>
      <c r="M478" s="2">
        <f>(H478-_xlfn.XLOOKUP(D478,Product_Master!A:A,Product_Master!D:D))*G478</f>
        <v>372</v>
      </c>
      <c r="N478" s="13">
        <f t="shared" si="14"/>
        <v>0.51926298157453943</v>
      </c>
      <c r="O478" s="16">
        <f>G478/Inventory!$G$2</f>
        <v>7.0175438596491224E-2</v>
      </c>
      <c r="P478"/>
      <c r="AA478"/>
      <c r="AB478"/>
      <c r="AC478"/>
    </row>
    <row r="479" spans="1:29">
      <c r="A479" s="1" t="s">
        <v>775</v>
      </c>
      <c r="B479" s="1" t="s">
        <v>128</v>
      </c>
      <c r="C479" s="1" t="s">
        <v>69</v>
      </c>
      <c r="D479" s="1" t="s">
        <v>13</v>
      </c>
      <c r="E479" s="1" t="s">
        <v>14</v>
      </c>
      <c r="F479" s="1" t="s">
        <v>147</v>
      </c>
      <c r="G479" s="1">
        <v>3</v>
      </c>
      <c r="H479" s="1">
        <v>99</v>
      </c>
      <c r="I479" s="1">
        <v>0</v>
      </c>
      <c r="J479" s="1">
        <v>297</v>
      </c>
      <c r="K479" s="1" t="s">
        <v>215</v>
      </c>
      <c r="L479" s="1" t="str">
        <f t="shared" si="15"/>
        <v>Mar</v>
      </c>
      <c r="M479" s="2">
        <f>(H479-_xlfn.XLOOKUP(D479,Product_Master!A:A,Product_Master!D:D))*G479</f>
        <v>72</v>
      </c>
      <c r="N479" s="13">
        <f t="shared" si="14"/>
        <v>0.24242424242424243</v>
      </c>
      <c r="O479" s="16">
        <f>G479/Inventory!$G$2</f>
        <v>5.2631578947368418E-2</v>
      </c>
      <c r="P479"/>
      <c r="AA479"/>
      <c r="AB479"/>
      <c r="AC479"/>
    </row>
    <row r="480" spans="1:29">
      <c r="A480" s="1" t="s">
        <v>776</v>
      </c>
      <c r="B480" s="1" t="s">
        <v>64</v>
      </c>
      <c r="C480" s="1" t="s">
        <v>48</v>
      </c>
      <c r="D480" s="1" t="s">
        <v>177</v>
      </c>
      <c r="E480" s="1" t="s">
        <v>207</v>
      </c>
      <c r="F480" s="1" t="s">
        <v>146</v>
      </c>
      <c r="G480" s="1">
        <v>1</v>
      </c>
      <c r="H480" s="1">
        <v>145</v>
      </c>
      <c r="I480" s="1">
        <v>5</v>
      </c>
      <c r="J480" s="1">
        <v>137.75</v>
      </c>
      <c r="K480" s="1" t="s">
        <v>46</v>
      </c>
      <c r="L480" s="1" t="str">
        <f t="shared" si="15"/>
        <v>Jan</v>
      </c>
      <c r="M480" s="2">
        <f>(H480-_xlfn.XLOOKUP(D480,Product_Master!A:A,Product_Master!D:D))*G480</f>
        <v>82</v>
      </c>
      <c r="N480" s="13">
        <f t="shared" si="14"/>
        <v>0.59528130671506352</v>
      </c>
      <c r="O480" s="16">
        <f>G480/Inventory!$G$2</f>
        <v>1.7543859649122806E-2</v>
      </c>
      <c r="P480"/>
      <c r="AA480"/>
      <c r="AB480"/>
      <c r="AC480"/>
    </row>
    <row r="481" spans="1:29">
      <c r="A481" s="1" t="s">
        <v>777</v>
      </c>
      <c r="B481" s="1" t="s">
        <v>53</v>
      </c>
      <c r="C481" s="1" t="s">
        <v>54</v>
      </c>
      <c r="D481" s="1" t="s">
        <v>174</v>
      </c>
      <c r="E481" s="1" t="s">
        <v>204</v>
      </c>
      <c r="F481" s="1" t="s">
        <v>7</v>
      </c>
      <c r="G481" s="1">
        <v>14</v>
      </c>
      <c r="H481" s="1">
        <v>160</v>
      </c>
      <c r="I481" s="1">
        <v>10</v>
      </c>
      <c r="J481" s="1">
        <v>2016</v>
      </c>
      <c r="K481" s="1" t="s">
        <v>215</v>
      </c>
      <c r="L481" s="1" t="str">
        <f t="shared" si="15"/>
        <v>Mar</v>
      </c>
      <c r="M481" s="2">
        <f>(H481-_xlfn.XLOOKUP(D481,Product_Master!A:A,Product_Master!D:D))*G481</f>
        <v>770</v>
      </c>
      <c r="N481" s="13">
        <f t="shared" si="14"/>
        <v>0.38194444444444442</v>
      </c>
      <c r="O481" s="16">
        <f>G481/Inventory!$G$2</f>
        <v>0.24561403508771928</v>
      </c>
      <c r="P481"/>
      <c r="AA481"/>
      <c r="AB481"/>
      <c r="AC481"/>
    </row>
    <row r="482" spans="1:29">
      <c r="A482" s="1" t="s">
        <v>778</v>
      </c>
      <c r="B482" s="1" t="s">
        <v>89</v>
      </c>
      <c r="C482" s="1" t="s">
        <v>224</v>
      </c>
      <c r="D482" s="1" t="s">
        <v>170</v>
      </c>
      <c r="E482" s="1" t="s">
        <v>200</v>
      </c>
      <c r="F482" s="1" t="s">
        <v>17</v>
      </c>
      <c r="G482" s="1">
        <v>6</v>
      </c>
      <c r="H482" s="1">
        <v>52</v>
      </c>
      <c r="I482" s="1">
        <v>15</v>
      </c>
      <c r="J482" s="1">
        <v>265.2</v>
      </c>
      <c r="K482" s="1" t="s">
        <v>215</v>
      </c>
      <c r="L482" s="1" t="str">
        <f t="shared" si="15"/>
        <v>Mar</v>
      </c>
      <c r="M482" s="2">
        <f>(H482-_xlfn.XLOOKUP(D482,Product_Master!A:A,Product_Master!D:D))*G482</f>
        <v>234</v>
      </c>
      <c r="N482" s="13">
        <f t="shared" si="14"/>
        <v>0.88235294117647067</v>
      </c>
      <c r="O482" s="16">
        <f>G482/Inventory!$G$2</f>
        <v>0.10526315789473684</v>
      </c>
      <c r="P482"/>
      <c r="AA482"/>
      <c r="AB482"/>
      <c r="AC482"/>
    </row>
    <row r="483" spans="1:29">
      <c r="A483" s="1" t="s">
        <v>779</v>
      </c>
      <c r="B483" s="1" t="s">
        <v>229</v>
      </c>
      <c r="C483" s="1" t="s">
        <v>65</v>
      </c>
      <c r="D483" s="1" t="s">
        <v>8</v>
      </c>
      <c r="E483" s="1" t="s">
        <v>9</v>
      </c>
      <c r="F483" s="1" t="s">
        <v>10</v>
      </c>
      <c r="G483" s="1">
        <v>1</v>
      </c>
      <c r="H483" s="1">
        <v>146</v>
      </c>
      <c r="I483" s="1">
        <v>5</v>
      </c>
      <c r="J483" s="1">
        <v>138.69999999999999</v>
      </c>
      <c r="K483" s="1" t="s">
        <v>46</v>
      </c>
      <c r="L483" s="1" t="str">
        <f t="shared" si="15"/>
        <v>Apr</v>
      </c>
      <c r="M483" s="2">
        <f>(H483-_xlfn.XLOOKUP(D483,Product_Master!A:A,Product_Master!D:D))*G483</f>
        <v>50</v>
      </c>
      <c r="N483" s="13">
        <f t="shared" si="14"/>
        <v>0.36049026676279744</v>
      </c>
      <c r="O483" s="16">
        <f>G483/Inventory!$G$2</f>
        <v>1.7543859649122806E-2</v>
      </c>
      <c r="P483"/>
      <c r="AA483"/>
      <c r="AB483"/>
      <c r="AC483"/>
    </row>
    <row r="484" spans="1:29">
      <c r="A484" s="1" t="s">
        <v>780</v>
      </c>
      <c r="B484" s="1" t="s">
        <v>50</v>
      </c>
      <c r="C484" s="1" t="s">
        <v>54</v>
      </c>
      <c r="D484" s="1" t="s">
        <v>148</v>
      </c>
      <c r="E484" s="1" t="s">
        <v>178</v>
      </c>
      <c r="F484" s="1" t="s">
        <v>147</v>
      </c>
      <c r="G484" s="1">
        <v>1</v>
      </c>
      <c r="H484" s="1">
        <v>90</v>
      </c>
      <c r="I484" s="1">
        <v>15</v>
      </c>
      <c r="J484" s="1">
        <v>76.5</v>
      </c>
      <c r="K484" s="1" t="s">
        <v>76</v>
      </c>
      <c r="L484" s="1" t="str">
        <f t="shared" si="15"/>
        <v>Apr</v>
      </c>
      <c r="M484" s="2">
        <f>(H484-_xlfn.XLOOKUP(D484,Product_Master!A:A,Product_Master!D:D))*G484</f>
        <v>31</v>
      </c>
      <c r="N484" s="13">
        <f t="shared" si="14"/>
        <v>0.40522875816993464</v>
      </c>
      <c r="O484" s="16">
        <f>G484/Inventory!$G$2</f>
        <v>1.7543859649122806E-2</v>
      </c>
      <c r="P484"/>
      <c r="AA484"/>
      <c r="AB484"/>
      <c r="AC484"/>
    </row>
    <row r="485" spans="1:29">
      <c r="A485" s="1" t="s">
        <v>781</v>
      </c>
      <c r="B485" s="1" t="s">
        <v>77</v>
      </c>
      <c r="C485" s="1" t="s">
        <v>48</v>
      </c>
      <c r="D485" s="1" t="s">
        <v>173</v>
      </c>
      <c r="E485" s="1" t="s">
        <v>203</v>
      </c>
      <c r="F485" s="1" t="s">
        <v>17</v>
      </c>
      <c r="G485" s="1">
        <v>12</v>
      </c>
      <c r="H485" s="1">
        <v>139</v>
      </c>
      <c r="I485" s="1">
        <v>10</v>
      </c>
      <c r="J485" s="1">
        <v>1501.2</v>
      </c>
      <c r="K485" s="1" t="s">
        <v>46</v>
      </c>
      <c r="L485" s="1" t="str">
        <f t="shared" si="15"/>
        <v>Jan</v>
      </c>
      <c r="M485" s="2">
        <f>(H485-_xlfn.XLOOKUP(D485,Product_Master!A:A,Product_Master!D:D))*G485</f>
        <v>840</v>
      </c>
      <c r="N485" s="13">
        <f t="shared" si="14"/>
        <v>0.55955235811350923</v>
      </c>
      <c r="O485" s="16">
        <f>G485/Inventory!$G$2</f>
        <v>0.21052631578947367</v>
      </c>
      <c r="P485"/>
      <c r="AA485"/>
      <c r="AB485"/>
      <c r="AC485"/>
    </row>
    <row r="486" spans="1:29">
      <c r="A486" s="1" t="s">
        <v>782</v>
      </c>
      <c r="B486" s="1" t="s">
        <v>66</v>
      </c>
      <c r="C486" s="1" t="s">
        <v>54</v>
      </c>
      <c r="D486" s="1" t="s">
        <v>164</v>
      </c>
      <c r="E486" s="1" t="s">
        <v>194</v>
      </c>
      <c r="F486" s="1" t="s">
        <v>147</v>
      </c>
      <c r="G486" s="1">
        <v>4</v>
      </c>
      <c r="H486" s="1">
        <v>135</v>
      </c>
      <c r="I486" s="1">
        <v>15</v>
      </c>
      <c r="J486" s="1">
        <v>459</v>
      </c>
      <c r="K486" s="1" t="s">
        <v>46</v>
      </c>
      <c r="L486" s="1" t="str">
        <f t="shared" si="15"/>
        <v>Apr</v>
      </c>
      <c r="M486" s="2">
        <f>(H486-_xlfn.XLOOKUP(D486,Product_Master!A:A,Product_Master!D:D))*G486</f>
        <v>172</v>
      </c>
      <c r="N486" s="13">
        <f t="shared" si="14"/>
        <v>0.37472766884531589</v>
      </c>
      <c r="O486" s="16">
        <f>G486/Inventory!$G$2</f>
        <v>7.0175438596491224E-2</v>
      </c>
      <c r="P486"/>
      <c r="AA486"/>
      <c r="AB486"/>
      <c r="AC486"/>
    </row>
    <row r="487" spans="1:29">
      <c r="A487" s="1" t="s">
        <v>783</v>
      </c>
      <c r="B487" s="1" t="s">
        <v>97</v>
      </c>
      <c r="C487" s="1" t="s">
        <v>69</v>
      </c>
      <c r="D487" s="1" t="s">
        <v>149</v>
      </c>
      <c r="E487" s="1" t="s">
        <v>179</v>
      </c>
      <c r="F487" s="1" t="s">
        <v>17</v>
      </c>
      <c r="G487" s="1">
        <v>7</v>
      </c>
      <c r="H487" s="1">
        <v>98</v>
      </c>
      <c r="I487" s="1">
        <v>10</v>
      </c>
      <c r="J487" s="1">
        <v>617.4</v>
      </c>
      <c r="K487" s="1" t="s">
        <v>76</v>
      </c>
      <c r="L487" s="1" t="str">
        <f t="shared" si="15"/>
        <v>Mar</v>
      </c>
      <c r="M487" s="2">
        <f>(H487-_xlfn.XLOOKUP(D487,Product_Master!A:A,Product_Master!D:D))*G487</f>
        <v>154</v>
      </c>
      <c r="N487" s="13">
        <f t="shared" si="14"/>
        <v>0.24943310657596374</v>
      </c>
      <c r="O487" s="16">
        <f>G487/Inventory!$G$2</f>
        <v>0.12280701754385964</v>
      </c>
      <c r="P487"/>
      <c r="AA487"/>
      <c r="AB487"/>
      <c r="AC487"/>
    </row>
    <row r="488" spans="1:29">
      <c r="A488" s="1" t="s">
        <v>784</v>
      </c>
      <c r="B488" s="1" t="s">
        <v>58</v>
      </c>
      <c r="C488" s="1" t="s">
        <v>69</v>
      </c>
      <c r="D488" s="1" t="s">
        <v>20</v>
      </c>
      <c r="E488" s="1" t="s">
        <v>21</v>
      </c>
      <c r="F488" s="1" t="s">
        <v>10</v>
      </c>
      <c r="G488" s="1">
        <v>5</v>
      </c>
      <c r="H488" s="1">
        <v>128</v>
      </c>
      <c r="I488" s="1">
        <v>10</v>
      </c>
      <c r="J488" s="1">
        <v>576</v>
      </c>
      <c r="K488" s="1" t="s">
        <v>49</v>
      </c>
      <c r="L488" s="1" t="str">
        <f t="shared" si="15"/>
        <v>Apr</v>
      </c>
      <c r="M488" s="2">
        <f>(H488-_xlfn.XLOOKUP(D488,Product_Master!A:A,Product_Master!D:D))*G488</f>
        <v>265</v>
      </c>
      <c r="N488" s="13">
        <f t="shared" si="14"/>
        <v>0.46006944444444442</v>
      </c>
      <c r="O488" s="16">
        <f>G488/Inventory!$G$2</f>
        <v>8.771929824561403E-2</v>
      </c>
      <c r="P488"/>
      <c r="AA488"/>
      <c r="AB488"/>
      <c r="AC488"/>
    </row>
    <row r="489" spans="1:29">
      <c r="A489" s="1" t="s">
        <v>785</v>
      </c>
      <c r="B489" s="1" t="s">
        <v>68</v>
      </c>
      <c r="C489" s="1" t="s">
        <v>54</v>
      </c>
      <c r="D489" s="1" t="s">
        <v>152</v>
      </c>
      <c r="E489" s="1" t="s">
        <v>182</v>
      </c>
      <c r="F489" s="1" t="s">
        <v>146</v>
      </c>
      <c r="G489" s="1">
        <v>14</v>
      </c>
      <c r="H489" s="1">
        <v>158</v>
      </c>
      <c r="I489" s="1">
        <v>10</v>
      </c>
      <c r="J489" s="1">
        <v>1990.8</v>
      </c>
      <c r="K489" s="1" t="s">
        <v>49</v>
      </c>
      <c r="L489" s="1" t="str">
        <f t="shared" si="15"/>
        <v>Mar</v>
      </c>
      <c r="M489" s="2">
        <f>(H489-_xlfn.XLOOKUP(D489,Product_Master!A:A,Product_Master!D:D))*G489</f>
        <v>1330</v>
      </c>
      <c r="N489" s="13">
        <f t="shared" si="14"/>
        <v>0.66807313642756683</v>
      </c>
      <c r="O489" s="16">
        <f>G489/Inventory!$G$2</f>
        <v>0.24561403508771928</v>
      </c>
      <c r="P489"/>
      <c r="AA489"/>
      <c r="AB489"/>
      <c r="AC489"/>
    </row>
    <row r="490" spans="1:29">
      <c r="A490" s="1" t="s">
        <v>786</v>
      </c>
      <c r="B490" s="1" t="s">
        <v>126</v>
      </c>
      <c r="C490" s="1" t="s">
        <v>69</v>
      </c>
      <c r="D490" s="1" t="s">
        <v>175</v>
      </c>
      <c r="E490" s="1" t="s">
        <v>205</v>
      </c>
      <c r="F490" s="1" t="s">
        <v>10</v>
      </c>
      <c r="G490" s="1">
        <v>15</v>
      </c>
      <c r="H490" s="1">
        <v>113</v>
      </c>
      <c r="I490" s="1">
        <v>15</v>
      </c>
      <c r="J490" s="1">
        <v>1440.75</v>
      </c>
      <c r="K490" s="1" t="s">
        <v>55</v>
      </c>
      <c r="L490" s="1" t="str">
        <f t="shared" si="15"/>
        <v>Jan</v>
      </c>
      <c r="M490" s="2">
        <f>(H490-_xlfn.XLOOKUP(D490,Product_Master!A:A,Product_Master!D:D))*G490</f>
        <v>750</v>
      </c>
      <c r="N490" s="13">
        <f t="shared" si="14"/>
        <v>0.52056220718375845</v>
      </c>
      <c r="O490" s="16">
        <f>G490/Inventory!$G$2</f>
        <v>0.26315789473684209</v>
      </c>
      <c r="P490"/>
      <c r="AA490"/>
      <c r="AB490"/>
      <c r="AC490"/>
    </row>
    <row r="491" spans="1:29">
      <c r="A491" s="1" t="s">
        <v>787</v>
      </c>
      <c r="B491" s="1" t="s">
        <v>293</v>
      </c>
      <c r="C491" s="1" t="s">
        <v>259</v>
      </c>
      <c r="D491" s="1" t="s">
        <v>174</v>
      </c>
      <c r="E491" s="1" t="s">
        <v>204</v>
      </c>
      <c r="F491" s="1" t="s">
        <v>7</v>
      </c>
      <c r="G491" s="1">
        <v>4</v>
      </c>
      <c r="H491" s="1">
        <v>160</v>
      </c>
      <c r="I491" s="1">
        <v>10</v>
      </c>
      <c r="J491" s="1">
        <v>576</v>
      </c>
      <c r="K491" s="1" t="s">
        <v>46</v>
      </c>
      <c r="L491" s="1" t="str">
        <f t="shared" si="15"/>
        <v>Mar</v>
      </c>
      <c r="M491" s="2">
        <f>(H491-_xlfn.XLOOKUP(D491,Product_Master!A:A,Product_Master!D:D))*G491</f>
        <v>220</v>
      </c>
      <c r="N491" s="13">
        <f t="shared" si="14"/>
        <v>0.38194444444444442</v>
      </c>
      <c r="O491" s="16">
        <f>G491/Inventory!$G$2</f>
        <v>7.0175438596491224E-2</v>
      </c>
      <c r="P491"/>
      <c r="AA491"/>
      <c r="AB491"/>
      <c r="AC491"/>
    </row>
    <row r="492" spans="1:29">
      <c r="A492" s="1" t="s">
        <v>788</v>
      </c>
      <c r="B492" s="1" t="s">
        <v>125</v>
      </c>
      <c r="C492" s="1" t="s">
        <v>51</v>
      </c>
      <c r="D492" s="1" t="s">
        <v>151</v>
      </c>
      <c r="E492" s="1" t="s">
        <v>181</v>
      </c>
      <c r="F492" s="1" t="s">
        <v>7</v>
      </c>
      <c r="G492" s="1">
        <v>14</v>
      </c>
      <c r="H492" s="1">
        <v>96</v>
      </c>
      <c r="I492" s="1">
        <v>0</v>
      </c>
      <c r="J492" s="1">
        <v>1344</v>
      </c>
      <c r="K492" s="1" t="s">
        <v>235</v>
      </c>
      <c r="L492" s="1" t="str">
        <f t="shared" si="15"/>
        <v>Apr</v>
      </c>
      <c r="M492" s="2">
        <f>(H492-_xlfn.XLOOKUP(D492,Product_Master!A:A,Product_Master!D:D))*G492</f>
        <v>1064</v>
      </c>
      <c r="N492" s="13">
        <f t="shared" si="14"/>
        <v>0.79166666666666663</v>
      </c>
      <c r="O492" s="16">
        <f>G492/Inventory!$G$2</f>
        <v>0.24561403508771928</v>
      </c>
      <c r="P492"/>
      <c r="AA492"/>
      <c r="AB492"/>
      <c r="AC492"/>
    </row>
    <row r="493" spans="1:29">
      <c r="A493" s="1" t="s">
        <v>789</v>
      </c>
      <c r="B493" s="1" t="s">
        <v>599</v>
      </c>
      <c r="C493" s="1" t="s">
        <v>48</v>
      </c>
      <c r="D493" s="1" t="s">
        <v>168</v>
      </c>
      <c r="E493" s="1" t="s">
        <v>198</v>
      </c>
      <c r="F493" s="1" t="s">
        <v>17</v>
      </c>
      <c r="G493" s="1">
        <v>4</v>
      </c>
      <c r="H493" s="1">
        <v>119</v>
      </c>
      <c r="I493" s="1">
        <v>0</v>
      </c>
      <c r="J493" s="1">
        <v>476</v>
      </c>
      <c r="K493" s="1" t="s">
        <v>55</v>
      </c>
      <c r="L493" s="1" t="str">
        <f t="shared" si="15"/>
        <v>Apr</v>
      </c>
      <c r="M493" s="2">
        <f>(H493-_xlfn.XLOOKUP(D493,Product_Master!A:A,Product_Master!D:D))*G493</f>
        <v>188</v>
      </c>
      <c r="N493" s="13">
        <f t="shared" si="14"/>
        <v>0.3949579831932773</v>
      </c>
      <c r="O493" s="16">
        <f>G493/Inventory!$G$2</f>
        <v>7.0175438596491224E-2</v>
      </c>
      <c r="P493"/>
      <c r="AA493"/>
      <c r="AB493"/>
      <c r="AC493"/>
    </row>
    <row r="494" spans="1:29">
      <c r="A494" s="1" t="s">
        <v>790</v>
      </c>
      <c r="B494" s="1" t="s">
        <v>127</v>
      </c>
      <c r="C494" s="1" t="s">
        <v>211</v>
      </c>
      <c r="D494" s="1" t="s">
        <v>156</v>
      </c>
      <c r="E494" s="1" t="s">
        <v>186</v>
      </c>
      <c r="F494" s="1" t="s">
        <v>147</v>
      </c>
      <c r="G494" s="1">
        <v>7</v>
      </c>
      <c r="H494" s="1">
        <v>95</v>
      </c>
      <c r="I494" s="1">
        <v>5</v>
      </c>
      <c r="J494" s="1">
        <v>631.75</v>
      </c>
      <c r="K494" s="1" t="s">
        <v>49</v>
      </c>
      <c r="L494" s="1" t="str">
        <f t="shared" si="15"/>
        <v>Feb</v>
      </c>
      <c r="M494" s="2">
        <f>(H494-_xlfn.XLOOKUP(D494,Product_Master!A:A,Product_Master!D:D))*G494</f>
        <v>518</v>
      </c>
      <c r="N494" s="13">
        <f t="shared" si="14"/>
        <v>0.81994459833795019</v>
      </c>
      <c r="O494" s="16">
        <f>G494/Inventory!$G$2</f>
        <v>0.12280701754385964</v>
      </c>
      <c r="P494"/>
      <c r="AA494"/>
      <c r="AB494"/>
      <c r="AC494"/>
    </row>
    <row r="495" spans="1:29">
      <c r="A495" s="1" t="s">
        <v>791</v>
      </c>
      <c r="B495" s="1" t="s">
        <v>68</v>
      </c>
      <c r="C495" s="1" t="s">
        <v>222</v>
      </c>
      <c r="D495" s="1" t="s">
        <v>161</v>
      </c>
      <c r="E495" s="1" t="s">
        <v>191</v>
      </c>
      <c r="F495" s="1" t="s">
        <v>147</v>
      </c>
      <c r="G495" s="1">
        <v>15</v>
      </c>
      <c r="H495" s="1">
        <v>144</v>
      </c>
      <c r="I495" s="1">
        <v>0</v>
      </c>
      <c r="J495" s="1">
        <v>2160</v>
      </c>
      <c r="K495" s="1" t="s">
        <v>55</v>
      </c>
      <c r="L495" s="1" t="str">
        <f t="shared" si="15"/>
        <v>Mar</v>
      </c>
      <c r="M495" s="2">
        <f>(H495-_xlfn.XLOOKUP(D495,Product_Master!A:A,Product_Master!D:D))*G495</f>
        <v>840</v>
      </c>
      <c r="N495" s="13">
        <f t="shared" si="14"/>
        <v>0.3888888888888889</v>
      </c>
      <c r="O495" s="16">
        <f>G495/Inventory!$G$2</f>
        <v>0.26315789473684209</v>
      </c>
      <c r="P495"/>
      <c r="AA495"/>
      <c r="AB495"/>
      <c r="AC495"/>
    </row>
    <row r="496" spans="1:29">
      <c r="A496" s="1" t="s">
        <v>792</v>
      </c>
      <c r="B496" s="1" t="s">
        <v>519</v>
      </c>
      <c r="C496" s="1" t="s">
        <v>222</v>
      </c>
      <c r="D496" s="1" t="s">
        <v>159</v>
      </c>
      <c r="E496" s="1" t="s">
        <v>189</v>
      </c>
      <c r="F496" s="1" t="s">
        <v>146</v>
      </c>
      <c r="G496" s="1">
        <v>2</v>
      </c>
      <c r="H496" s="1">
        <v>147</v>
      </c>
      <c r="I496" s="1">
        <v>5</v>
      </c>
      <c r="J496" s="1">
        <v>279.3</v>
      </c>
      <c r="K496" s="1" t="s">
        <v>235</v>
      </c>
      <c r="L496" s="1" t="str">
        <f t="shared" si="15"/>
        <v>Jun</v>
      </c>
      <c r="M496" s="2">
        <f>(H496-_xlfn.XLOOKUP(D496,Product_Master!A:A,Product_Master!D:D))*G496</f>
        <v>172</v>
      </c>
      <c r="N496" s="13">
        <f t="shared" si="14"/>
        <v>0.61582527747941285</v>
      </c>
      <c r="O496" s="16">
        <f>G496/Inventory!$G$2</f>
        <v>3.5087719298245612E-2</v>
      </c>
      <c r="P496"/>
      <c r="AA496"/>
      <c r="AB496"/>
      <c r="AC496"/>
    </row>
    <row r="497" spans="1:29">
      <c r="A497" s="1" t="s">
        <v>793</v>
      </c>
      <c r="B497" s="1" t="s">
        <v>47</v>
      </c>
      <c r="C497" s="1" t="s">
        <v>57</v>
      </c>
      <c r="D497" s="1" t="s">
        <v>11</v>
      </c>
      <c r="E497" s="1" t="s">
        <v>12</v>
      </c>
      <c r="F497" s="1" t="s">
        <v>147</v>
      </c>
      <c r="G497" s="1">
        <v>11</v>
      </c>
      <c r="H497" s="1">
        <v>86</v>
      </c>
      <c r="I497" s="1">
        <v>0</v>
      </c>
      <c r="J497" s="1">
        <v>946</v>
      </c>
      <c r="K497" s="1" t="s">
        <v>46</v>
      </c>
      <c r="L497" s="1" t="str">
        <f t="shared" si="15"/>
        <v>Jan</v>
      </c>
      <c r="M497" s="2">
        <f>(H497-_xlfn.XLOOKUP(D497,Product_Master!A:A,Product_Master!D:D))*G497</f>
        <v>220</v>
      </c>
      <c r="N497" s="13">
        <f t="shared" si="14"/>
        <v>0.23255813953488372</v>
      </c>
      <c r="O497" s="16">
        <f>G497/Inventory!$G$2</f>
        <v>0.19298245614035087</v>
      </c>
      <c r="P497"/>
      <c r="AA497"/>
      <c r="AB497"/>
      <c r="AC497"/>
    </row>
    <row r="498" spans="1:29">
      <c r="A498" s="1" t="s">
        <v>794</v>
      </c>
      <c r="B498" s="1" t="s">
        <v>114</v>
      </c>
      <c r="C498" s="1" t="s">
        <v>222</v>
      </c>
      <c r="D498" s="1" t="s">
        <v>18</v>
      </c>
      <c r="E498" s="1" t="s">
        <v>19</v>
      </c>
      <c r="F498" s="1" t="s">
        <v>146</v>
      </c>
      <c r="G498" s="1">
        <v>6</v>
      </c>
      <c r="H498" s="1">
        <v>140</v>
      </c>
      <c r="I498" s="1">
        <v>15</v>
      </c>
      <c r="J498" s="1">
        <v>714</v>
      </c>
      <c r="K498" s="1" t="s">
        <v>55</v>
      </c>
      <c r="L498" s="1" t="str">
        <f t="shared" si="15"/>
        <v>Mar</v>
      </c>
      <c r="M498" s="2">
        <f>(H498-_xlfn.XLOOKUP(D498,Product_Master!A:A,Product_Master!D:D))*G498</f>
        <v>588</v>
      </c>
      <c r="N498" s="13">
        <f t="shared" si="14"/>
        <v>0.82352941176470584</v>
      </c>
      <c r="O498" s="16">
        <f>G498/Inventory!$G$2</f>
        <v>0.10526315789473684</v>
      </c>
      <c r="P498"/>
      <c r="AA498"/>
      <c r="AB498"/>
      <c r="AC498"/>
    </row>
    <row r="499" spans="1:29">
      <c r="A499" s="1" t="s">
        <v>795</v>
      </c>
      <c r="B499" s="1" t="s">
        <v>73</v>
      </c>
      <c r="C499" s="1" t="s">
        <v>222</v>
      </c>
      <c r="D499" s="1" t="s">
        <v>155</v>
      </c>
      <c r="E499" s="1" t="s">
        <v>185</v>
      </c>
      <c r="F499" s="1" t="s">
        <v>7</v>
      </c>
      <c r="G499" s="1">
        <v>7</v>
      </c>
      <c r="H499" s="1">
        <v>156</v>
      </c>
      <c r="I499" s="1">
        <v>5</v>
      </c>
      <c r="J499" s="1">
        <v>1037.4000000000001</v>
      </c>
      <c r="K499" s="1" t="s">
        <v>235</v>
      </c>
      <c r="L499" s="1" t="str">
        <f t="shared" si="15"/>
        <v>Apr</v>
      </c>
      <c r="M499" s="2">
        <f>(H499-_xlfn.XLOOKUP(D499,Product_Master!A:A,Product_Master!D:D))*G499</f>
        <v>441</v>
      </c>
      <c r="N499" s="13">
        <f t="shared" si="14"/>
        <v>0.42510121457489874</v>
      </c>
      <c r="O499" s="16">
        <f>G499/Inventory!$G$2</f>
        <v>0.12280701754385964</v>
      </c>
      <c r="P499"/>
      <c r="AA499"/>
      <c r="AB499"/>
      <c r="AC499"/>
    </row>
    <row r="500" spans="1:29">
      <c r="A500" s="1" t="s">
        <v>796</v>
      </c>
      <c r="B500" s="1" t="s">
        <v>63</v>
      </c>
      <c r="C500" s="1" t="s">
        <v>211</v>
      </c>
      <c r="D500" s="1" t="s">
        <v>156</v>
      </c>
      <c r="E500" s="1" t="s">
        <v>186</v>
      </c>
      <c r="F500" s="1" t="s">
        <v>147</v>
      </c>
      <c r="G500" s="1">
        <v>1</v>
      </c>
      <c r="H500" s="1">
        <v>95</v>
      </c>
      <c r="I500" s="1">
        <v>15</v>
      </c>
      <c r="J500" s="1">
        <v>80.75</v>
      </c>
      <c r="K500" s="1" t="s">
        <v>215</v>
      </c>
      <c r="L500" s="1" t="str">
        <f t="shared" si="15"/>
        <v>Feb</v>
      </c>
      <c r="M500" s="2">
        <f>(H500-_xlfn.XLOOKUP(D500,Product_Master!A:A,Product_Master!D:D))*G500</f>
        <v>74</v>
      </c>
      <c r="N500" s="13">
        <f t="shared" si="14"/>
        <v>0.91640866873065019</v>
      </c>
      <c r="O500" s="16">
        <f>G500/Inventory!$G$2</f>
        <v>1.7543859649122806E-2</v>
      </c>
      <c r="P500"/>
      <c r="AA500"/>
      <c r="AB500"/>
      <c r="AC500"/>
    </row>
    <row r="501" spans="1:29">
      <c r="A501" s="1" t="s">
        <v>797</v>
      </c>
      <c r="B501" s="1" t="s">
        <v>81</v>
      </c>
      <c r="C501" s="1" t="s">
        <v>45</v>
      </c>
      <c r="D501" s="1" t="s">
        <v>170</v>
      </c>
      <c r="E501" s="1" t="s">
        <v>200</v>
      </c>
      <c r="F501" s="1" t="s">
        <v>17</v>
      </c>
      <c r="G501" s="1">
        <v>10</v>
      </c>
      <c r="H501" s="1">
        <v>52</v>
      </c>
      <c r="I501" s="1">
        <v>0</v>
      </c>
      <c r="J501" s="1">
        <v>520</v>
      </c>
      <c r="K501" s="1" t="s">
        <v>46</v>
      </c>
      <c r="L501" s="1" t="str">
        <f t="shared" si="15"/>
        <v>Apr</v>
      </c>
      <c r="M501" s="2">
        <f>(H501-_xlfn.XLOOKUP(D501,Product_Master!A:A,Product_Master!D:D))*G501</f>
        <v>390</v>
      </c>
      <c r="N501" s="13">
        <f t="shared" si="14"/>
        <v>0.75</v>
      </c>
      <c r="O501" s="16">
        <f>G501/Inventory!$G$2</f>
        <v>0.17543859649122806</v>
      </c>
      <c r="P501"/>
      <c r="AA501"/>
      <c r="AB501"/>
      <c r="AC501"/>
    </row>
    <row r="502" spans="1:29">
      <c r="M502" s="2"/>
      <c r="P502"/>
      <c r="AA502"/>
      <c r="AB502"/>
      <c r="AC502"/>
    </row>
    <row r="503" spans="1:29">
      <c r="P503"/>
      <c r="AA503"/>
      <c r="AB503"/>
      <c r="AC503"/>
    </row>
    <row r="504" spans="1:29">
      <c r="P504"/>
      <c r="AA504"/>
      <c r="AB504"/>
      <c r="AC504"/>
    </row>
    <row r="505" spans="1:29">
      <c r="P505"/>
      <c r="AA505"/>
      <c r="AB505"/>
      <c r="AC505"/>
    </row>
    <row r="506" spans="1:29">
      <c r="P506"/>
      <c r="AA506"/>
      <c r="AB506"/>
      <c r="AC506"/>
    </row>
    <row r="507" spans="1:29">
      <c r="P507"/>
      <c r="AA507"/>
      <c r="AB507"/>
      <c r="AC507"/>
    </row>
    <row r="508" spans="1:29">
      <c r="P508"/>
      <c r="AA508"/>
      <c r="AB508"/>
      <c r="AC508"/>
    </row>
    <row r="509" spans="1:29">
      <c r="P509"/>
      <c r="AA509"/>
      <c r="AB509"/>
      <c r="AC509"/>
    </row>
    <row r="510" spans="1:29">
      <c r="P510"/>
      <c r="AA510"/>
      <c r="AB510"/>
      <c r="AC510"/>
    </row>
    <row r="511" spans="1:29">
      <c r="P511"/>
      <c r="AA511"/>
      <c r="AB511"/>
      <c r="AC511"/>
    </row>
    <row r="512" spans="1:29">
      <c r="P512"/>
      <c r="AA512"/>
      <c r="AB512"/>
      <c r="AC512"/>
    </row>
    <row r="513" spans="16:29">
      <c r="P513"/>
      <c r="AA513"/>
      <c r="AB513"/>
      <c r="AC513"/>
    </row>
    <row r="514" spans="16:29">
      <c r="P514"/>
      <c r="AA514"/>
      <c r="AB514"/>
      <c r="AC514"/>
    </row>
    <row r="515" spans="16:29">
      <c r="P515"/>
      <c r="AA515"/>
      <c r="AB515"/>
      <c r="AC515"/>
    </row>
    <row r="516" spans="16:29">
      <c r="AA516"/>
      <c r="AB516"/>
      <c r="AC516"/>
    </row>
    <row r="517" spans="16:29">
      <c r="AA517"/>
      <c r="AB517"/>
      <c r="AC517"/>
    </row>
    <row r="518" spans="16:29">
      <c r="AA518"/>
      <c r="AB518"/>
      <c r="AC518"/>
    </row>
    <row r="519" spans="16:29">
      <c r="AA519"/>
      <c r="AB519"/>
      <c r="AC519"/>
    </row>
    <row r="520" spans="16:29">
      <c r="AA520"/>
      <c r="AB520"/>
      <c r="AC520"/>
    </row>
    <row r="521" spans="16:29">
      <c r="AA521"/>
      <c r="AB521"/>
      <c r="AC521"/>
    </row>
    <row r="522" spans="16:29">
      <c r="AA522"/>
      <c r="AB522"/>
      <c r="AC522"/>
    </row>
    <row r="523" spans="16:29">
      <c r="AA523"/>
      <c r="AB523"/>
      <c r="AC523"/>
    </row>
    <row r="524" spans="16:29">
      <c r="AA524"/>
      <c r="AB524"/>
      <c r="AC524"/>
    </row>
    <row r="525" spans="16:29">
      <c r="AA525"/>
      <c r="AB525"/>
      <c r="AC525"/>
    </row>
    <row r="526" spans="16:29">
      <c r="AA526"/>
      <c r="AB526"/>
      <c r="AC526"/>
    </row>
    <row r="527" spans="16:29">
      <c r="AA527"/>
      <c r="AB527"/>
      <c r="AC527"/>
    </row>
    <row r="528" spans="16:29">
      <c r="AA528"/>
      <c r="AB528"/>
      <c r="AC528"/>
    </row>
    <row r="529" spans="27:29">
      <c r="AA529"/>
      <c r="AB529"/>
      <c r="AC529"/>
    </row>
    <row r="530" spans="27:29">
      <c r="AA530"/>
      <c r="AB530"/>
      <c r="AC530"/>
    </row>
    <row r="531" spans="27:29">
      <c r="AA531"/>
      <c r="AB531"/>
      <c r="AC531"/>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Product_Master</vt:lpstr>
      <vt:lpstr>Inventory</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Vrushali Sawant</dc:creator>
  <cp:lastModifiedBy>Vrushali Sawant</cp:lastModifiedBy>
  <dcterms:created xsi:type="dcterms:W3CDTF">2026-04-27T04:55:31Z</dcterms:created>
  <dcterms:modified xsi:type="dcterms:W3CDTF">2026-06-15T13:46:26Z</dcterms:modified>
</cp:coreProperties>
</file>